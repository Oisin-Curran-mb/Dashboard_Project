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500" firstSheet="0" activeTab="0" autoFilterDateGrouping="1"/>
  </bookViews>
  <sheets>
    <sheet xmlns:r="http://schemas.openxmlformats.org/officeDocument/2006/relationships" name="Dashboard Tracker" sheetId="1" state="visible" r:id="rId1"/>
    <sheet xmlns:r="http://schemas.openxmlformats.org/officeDocument/2006/relationships" name="Purpose" sheetId="2" state="visible" r:id="rId2"/>
  </sheets>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6"/>
    </font>
    <font>
      <name val="Arial"/>
      <charset val="1"/>
      <color rgb="FFFFFFFF"/>
      <sz val="10"/>
    </font>
    <font>
      <name val="Arial"/>
      <charset val="1"/>
      <b val="1"/>
      <color rgb="FFFFFFFF"/>
      <sz val="9"/>
    </font>
    <font>
      <name val="Arial"/>
      <charset val="1"/>
      <b val="1"/>
      <color rgb="FF000000"/>
      <sz val="10"/>
    </font>
    <font>
      <name val="Arial"/>
      <charset val="1"/>
      <color rgb="FF595959"/>
      <sz val="8"/>
    </font>
    <font>
      <name val="Arial"/>
      <charset val="1"/>
      <b val="1"/>
      <color rgb="FF000000"/>
      <sz val="9"/>
    </font>
    <font>
      <name val="Arial"/>
      <charset val="1"/>
      <color rgb="FF000000"/>
      <sz val="9"/>
    </font>
    <font>
      <name val="Arial"/>
      <charset val="1"/>
      <b val="1"/>
      <color rgb="FF276221"/>
      <sz val="9"/>
    </font>
    <font>
      <name val="Arial"/>
      <charset val="1"/>
      <color rgb="FF276221"/>
      <sz val="9"/>
    </font>
    <font>
      <name val="Arial"/>
      <charset val="1"/>
      <color rgb="FF595959"/>
      <sz val="9"/>
    </font>
    <font>
      <name val="Arial"/>
      <charset val="1"/>
      <color rgb="FF404040"/>
      <sz val="8"/>
    </font>
    <font>
      <name val="Arial"/>
      <charset val="1"/>
      <b val="1"/>
      <color rgb="FFC00000"/>
      <sz val="9"/>
    </font>
    <font>
      <name val="Arial"/>
      <charset val="1"/>
      <b val="1"/>
      <color rgb="FF9C6500"/>
      <sz val="9"/>
    </font>
    <font>
      <name val="Arial"/>
      <charset val="1"/>
      <b val="1"/>
      <color rgb="FFFFFFFF"/>
      <sz val="15"/>
    </font>
    <font>
      <name val="Arial"/>
      <charset val="1"/>
      <b val="1"/>
      <color rgb="FF1F5FA6"/>
      <sz val="9"/>
    </font>
    <font>
      <name val="Arial"/>
      <color rgb="FF9C0006"/>
      <sz val="9"/>
    </font>
    <font>
      <name val="Arial"/>
      <color rgb="FF7F4000"/>
      <sz val="9"/>
    </font>
    <font>
      <name val="Arial"/>
      <color rgb="FF5F4A00"/>
      <sz val="9"/>
    </font>
    <font>
      <name val="Arial"/>
      <b val="1"/>
      <color rgb="FF000000"/>
      <sz val="9"/>
    </font>
  </fonts>
  <fills count="16">
    <fill>
      <patternFill/>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pivotButton="0" quotePrefix="0" xfId="0"/>
    <xf numFmtId="0" fontId="3" fillId="4" borderId="0" applyAlignment="1" pivotButton="0" quotePrefix="0" xfId="0">
      <alignment horizontal="center" vertical="center"/>
    </xf>
    <xf numFmtId="0" fontId="4" fillId="5" borderId="0" applyAlignment="1" pivotButton="0" quotePrefix="0" xfId="0">
      <alignment horizontal="center" vertical="center"/>
    </xf>
    <xf numFmtId="0" fontId="3" fillId="3" borderId="0" applyAlignment="1" pivotButton="0" quotePrefix="0" xfId="0">
      <alignment horizontal="center" vertical="center" wrapText="1"/>
    </xf>
    <xf numFmtId="0" fontId="6" fillId="7" borderId="1" applyAlignment="1" pivotButton="0" quotePrefix="0" xfId="0">
      <alignment horizontal="center" vertical="center"/>
    </xf>
    <xf numFmtId="0" fontId="6" fillId="7"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9" fontId="6" fillId="7" borderId="1" applyAlignment="1" pivotButton="0" quotePrefix="0" xfId="0">
      <alignment horizontal="center" vertical="center"/>
    </xf>
    <xf numFmtId="0" fontId="0" fillId="7" borderId="1" pivotButton="0" quotePrefix="0" xfId="0"/>
    <xf numFmtId="0" fontId="11" fillId="7" borderId="1" applyAlignment="1" pivotButton="0" quotePrefix="0" xfId="0">
      <alignment horizontal="left" vertical="center" wrapText="1"/>
    </xf>
    <xf numFmtId="0" fontId="6" fillId="10" borderId="1" applyAlignment="1" pivotButton="0" quotePrefix="0" xfId="0">
      <alignment horizontal="center" vertical="center"/>
    </xf>
    <xf numFmtId="0" fontId="6" fillId="10" borderId="1" applyAlignment="1" pivotButton="0" quotePrefix="0" xfId="0">
      <alignment horizontal="left" vertical="center"/>
    </xf>
    <xf numFmtId="0" fontId="7" fillId="10" borderId="1" applyAlignment="1" pivotButton="0" quotePrefix="0" xfId="0">
      <alignment horizontal="center" vertical="center"/>
    </xf>
    <xf numFmtId="9" fontId="6" fillId="10" borderId="1" applyAlignment="1" pivotButton="0" quotePrefix="0" xfId="0">
      <alignment horizontal="center" vertical="center"/>
    </xf>
    <xf numFmtId="0" fontId="0" fillId="10" borderId="1" pivotButton="0" quotePrefix="0" xfId="0"/>
    <xf numFmtId="0" fontId="11" fillId="10" borderId="1" applyAlignment="1" pivotButton="0" quotePrefix="0" xfId="0">
      <alignment horizontal="left" vertical="center" wrapText="1"/>
    </xf>
    <xf numFmtId="0" fontId="6" fillId="11" borderId="1" applyAlignment="1" pivotButton="0" quotePrefix="0" xfId="0">
      <alignment horizontal="center" vertical="center"/>
    </xf>
    <xf numFmtId="0" fontId="6" fillId="11" borderId="1" applyAlignment="1" pivotButton="0" quotePrefix="0" xfId="0">
      <alignment horizontal="left" vertical="center"/>
    </xf>
    <xf numFmtId="0" fontId="7" fillId="11" borderId="1" applyAlignment="1" pivotButton="0" quotePrefix="0" xfId="0">
      <alignment horizontal="center" vertical="center"/>
    </xf>
    <xf numFmtId="0" fontId="12" fillId="11" borderId="1" applyAlignment="1" pivotButton="0" quotePrefix="0" xfId="0">
      <alignment horizontal="center" vertical="center"/>
    </xf>
    <xf numFmtId="9" fontId="6" fillId="11" borderId="1" applyAlignment="1" pivotButton="0" quotePrefix="0" xfId="0">
      <alignment horizontal="center" vertical="center"/>
    </xf>
    <xf numFmtId="0" fontId="0" fillId="11" borderId="1" pivotButton="0" quotePrefix="0" xfId="0"/>
    <xf numFmtId="0" fontId="11" fillId="11" borderId="1" applyAlignment="1" pivotButton="0" quotePrefix="0" xfId="0">
      <alignment horizontal="left" vertical="center" wrapText="1"/>
    </xf>
    <xf numFmtId="0" fontId="13" fillId="12" borderId="1" applyAlignment="1" pivotButton="0" quotePrefix="0" xfId="0">
      <alignment horizontal="center" vertical="center"/>
    </xf>
    <xf numFmtId="0" fontId="6" fillId="7" borderId="1" applyAlignment="1" pivotButton="0" quotePrefix="0" xfId="0">
      <alignment horizontal="center" vertical="top"/>
    </xf>
    <xf numFmtId="0" fontId="6" fillId="7" borderId="1" applyAlignment="1" pivotButton="0" quotePrefix="0" xfId="0">
      <alignment horizontal="left" vertical="top" wrapText="1"/>
    </xf>
    <xf numFmtId="0" fontId="7" fillId="7" borderId="1" applyAlignment="1" pivotButton="0" quotePrefix="0" xfId="0">
      <alignment horizontal="left" vertical="top" wrapText="1"/>
    </xf>
    <xf numFmtId="0" fontId="8" fillId="7" borderId="1" applyAlignment="1" pivotButton="0" quotePrefix="0" xfId="0">
      <alignment horizontal="center" vertical="top" wrapText="1"/>
    </xf>
    <xf numFmtId="0" fontId="6" fillId="10" borderId="1" applyAlignment="1" pivotButton="0" quotePrefix="0" xfId="0">
      <alignment horizontal="center" vertical="top"/>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15" fillId="10" borderId="1" applyAlignment="1" pivotButton="0" quotePrefix="0" xfId="0">
      <alignment horizontal="center" vertical="top" wrapText="1"/>
    </xf>
    <xf numFmtId="0" fontId="6" fillId="11" borderId="1" applyAlignment="1" pivotButton="0" quotePrefix="0" xfId="0">
      <alignment horizontal="center" vertical="top"/>
    </xf>
    <xf numFmtId="0" fontId="6" fillId="11" borderId="1" applyAlignment="1" pivotButton="0" quotePrefix="0" xfId="0">
      <alignment horizontal="left" vertical="top" wrapText="1"/>
    </xf>
    <xf numFmtId="0" fontId="7" fillId="11" borderId="1" applyAlignment="1" pivotButton="0" quotePrefix="0" xfId="0">
      <alignment horizontal="left" vertical="top" wrapText="1"/>
    </xf>
    <xf numFmtId="0" fontId="12" fillId="11" borderId="1" applyAlignment="1" pivotButton="0" quotePrefix="0" xfId="0">
      <alignment horizontal="center" vertical="top" wrapText="1"/>
    </xf>
    <xf numFmtId="0" fontId="18" fillId="15" borderId="2" applyAlignment="1" pivotButton="0" quotePrefix="0" xfId="0">
      <alignment horizontal="left" vertical="top" wrapText="1"/>
    </xf>
    <xf numFmtId="0" fontId="16" fillId="13" borderId="2" applyAlignment="1" pivotButton="0" quotePrefix="0" xfId="0">
      <alignment horizontal="left" vertical="top" wrapText="1"/>
    </xf>
    <xf numFmtId="0" fontId="17" fillId="14" borderId="2" applyAlignment="1" pivotButton="0" quotePrefix="0" xfId="0">
      <alignment horizontal="left" vertical="top" wrapText="1"/>
    </xf>
    <xf numFmtId="0" fontId="19" fillId="0" borderId="0" applyAlignment="1" pivotButton="0" quotePrefix="0" xfId="0">
      <alignment horizontal="left" vertical="center"/>
    </xf>
    <xf numFmtId="0" fontId="16" fillId="13" borderId="0" applyAlignment="1" pivotButton="0" quotePrefix="0" xfId="0">
      <alignment horizontal="left" vertical="center"/>
    </xf>
    <xf numFmtId="0" fontId="17" fillId="14" borderId="0" applyAlignment="1" pivotButton="0" quotePrefix="0" xfId="0">
      <alignment horizontal="left" vertical="center"/>
    </xf>
    <xf numFmtId="0" fontId="18" fillId="15" borderId="0" applyAlignment="1" pivotButton="0" quotePrefix="0" xfId="0">
      <alignment horizontal="left" vertical="center"/>
    </xf>
    <xf numFmtId="0" fontId="2" fillId="3" borderId="0" applyAlignment="1" pivotButton="0" quotePrefix="0" xfId="0">
      <alignment horizontal="center" vertical="center"/>
    </xf>
    <xf numFmtId="0" fontId="0" fillId="0" borderId="0" pivotButton="0" quotePrefix="0" xfId="0"/>
    <xf numFmtId="0" fontId="14" fillId="2" borderId="0" applyAlignment="1" pivotButton="0" quotePrefix="0" xfId="0">
      <alignment horizontal="center" vertical="center"/>
    </xf>
    <xf numFmtId="0" fontId="5" fillId="6" borderId="0" applyAlignment="1" pivotButton="0" quotePrefix="0" xfId="0">
      <alignment horizontal="center" vertical="center"/>
    </xf>
    <xf numFmtId="0" fontId="1" fillId="2" borderId="0" applyAlignment="1" pivotButton="0" quotePrefix="0" xfId="0">
      <alignment horizontal="center" vertical="center"/>
    </xf>
  </cellXfs>
  <cellStyles count="1">
    <cellStyle name="Normal" xfId="0" builtinId="0"/>
  </cellStyles>
  <dxfs count="3">
    <dxf>
      <font>
        <name val="Arial"/>
        <charset val="1"/>
        <color rgb="FF595959"/>
        <sz val="9"/>
      </font>
      <fill>
        <patternFill>
          <bgColor rgb="FFF2F2F2"/>
        </patternFill>
      </fill>
    </dxf>
    <dxf>
      <font>
        <name val="Arial"/>
        <charset val="1"/>
        <color rgb="FF9C6500"/>
        <sz val="9"/>
      </font>
      <fill>
        <patternFill>
          <bgColor rgb="FFFFEB9C"/>
        </patternFill>
      </fill>
    </dxf>
    <dxf>
      <font>
        <name val="Arial"/>
        <charset val="1"/>
        <color rgb="FF276221"/>
        <sz val="9"/>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4"/>
  <sheetViews>
    <sheetView tabSelected="1" zoomScaleNormal="100" workbookViewId="0">
      <pane xSplit="2" ySplit="7" topLeftCell="C8" activePane="bottomRight" state="frozen"/>
      <selection pane="topRight" activeCell="C1" sqref="C1"/>
      <selection pane="bottomLeft" activeCell="A8" sqref="A8"/>
      <selection pane="bottomRight" activeCell="L15" sqref="L15"/>
    </sheetView>
  </sheetViews>
  <sheetFormatPr baseColWidth="8" defaultColWidth="8.6640625" defaultRowHeight="14.4"/>
  <cols>
    <col width="5" customWidth="1" style="47" min="1" max="1"/>
    <col width="28" customWidth="1" style="47" min="2" max="2"/>
    <col width="22" customWidth="1" style="47" min="3" max="3"/>
    <col width="14" customWidth="1" style="47" min="4" max="4"/>
    <col width="10" customWidth="1" style="47" min="5" max="5"/>
    <col width="8" customWidth="1" style="47" min="6" max="6"/>
    <col width="12" customWidth="1" style="47" min="7" max="9"/>
    <col width="11" customWidth="1" style="47" min="10" max="11"/>
    <col width="14" customWidth="1" style="47" min="12" max="12"/>
    <col width="11" customWidth="1" style="47" min="13" max="13"/>
    <col width="14" customWidth="1" style="47" min="14" max="14"/>
    <col width="13" customWidth="1" style="47" min="15" max="15"/>
    <col width="40" customWidth="1" style="47" min="16" max="16"/>
  </cols>
  <sheetData>
    <row r="1" ht="31.5" customHeight="1" s="47">
      <c r="A1" s="50" t="inlineStr">
        <is>
          <t>Dashboard Re-Platform Progress Tracker</t>
        </is>
      </c>
    </row>
    <row r="2" ht="19.5" customHeight="1" s="47">
      <c r="A2" s="46" t="inlineStr">
        <is>
          <t>Ministry Brands  |  Shelby Financials  |  Step 1 of 6 Complete – Purpose Documents Done</t>
        </is>
      </c>
    </row>
    <row r="3" ht="6" customHeight="1" s="47"/>
    <row r="4" ht="18" customHeight="1" s="47">
      <c r="A4" s="1" t="inlineStr">
        <is>
          <t>SUMMARY</t>
        </is>
      </c>
      <c r="B4" s="1" t="inlineStr">
        <is>
          <t>Total Widgets</t>
        </is>
      </c>
      <c r="C4" s="1" t="inlineStr">
        <is>
          <t>🟢 Light Review</t>
        </is>
      </c>
      <c r="D4" s="1" t="inlineStr">
        <is>
          <t>🔵 Re-Design</t>
        </is>
      </c>
      <c r="E4" s="1" t="inlineStr">
        <is>
          <t>🔴 Significant</t>
        </is>
      </c>
      <c r="F4" s="1" t="inlineStr">
        <is>
          <t>Low Effort</t>
        </is>
      </c>
      <c r="G4" s="1" t="inlineStr">
        <is>
          <t>Medium Effort</t>
        </is>
      </c>
      <c r="H4" s="1" t="inlineStr">
        <is>
          <t>High Effort</t>
        </is>
      </c>
      <c r="I4" s="1" t="inlineStr">
        <is>
          <t>Purpose ✓</t>
        </is>
      </c>
      <c r="J4" s="1" t="inlineStr">
        <is>
          <t>Feedback ✓</t>
        </is>
      </c>
      <c r="K4" s="1" t="inlineStr">
        <is>
          <t>Design ✓</t>
        </is>
      </c>
      <c r="L4" s="1" t="inlineStr">
        <is>
          <t>Dev ✓</t>
        </is>
      </c>
      <c r="M4" s="1" t="inlineStr">
        <is>
          <t>Review ✓</t>
        </is>
      </c>
      <c r="N4" s="1" t="inlineStr">
        <is>
          <t>Test ✓</t>
        </is>
      </c>
      <c r="O4" s="1" t="inlineStr">
        <is>
          <t>Overall %</t>
        </is>
      </c>
      <c r="P4" s="1" t="n"/>
    </row>
    <row r="5" ht="19.5" customHeight="1" s="47">
      <c r="A5" s="2" t="inlineStr">
        <is>
          <t>Counts</t>
        </is>
      </c>
      <c r="B5" s="2">
        <f>COUNTA(B8:B24)</f>
        <v/>
      </c>
      <c r="C5" s="2">
        <f>COUNTIF(C8:C24,"Needs light review")</f>
        <v/>
      </c>
      <c r="D5" s="2">
        <f>COUNTIF(C8:C24,"Ready to re-design")</f>
        <v/>
      </c>
      <c r="E5" s="2">
        <f>COUNTIF(C8:C24,"Needs significant review")</f>
        <v/>
      </c>
      <c r="F5" s="2">
        <f>COUNTIF(E8:E24,"Low")</f>
        <v/>
      </c>
      <c r="G5" s="2">
        <f>COUNTIF(E8:E24,"Medium")</f>
        <v/>
      </c>
      <c r="H5" s="2">
        <f>COUNTIF(E8:E24,"High")</f>
        <v/>
      </c>
      <c r="I5" s="2">
        <f>COUNTIF(G8:G24,"Complete")</f>
        <v/>
      </c>
      <c r="J5" s="2">
        <f>COUNTIF(H8:H24,"Complete")</f>
        <v/>
      </c>
      <c r="K5" s="2">
        <f>COUNTIF(J8:J24,"Complete")</f>
        <v/>
      </c>
      <c r="L5" s="2">
        <f>COUNTIF(J8:J24,"Complete")</f>
        <v/>
      </c>
      <c r="M5" s="2">
        <f>COUNTIF(K8:K24,"Complete")</f>
        <v/>
      </c>
      <c r="N5" s="2">
        <f>COUNTIF(L8:L24,"Complete")</f>
        <v/>
      </c>
      <c r="O5" s="2">
        <f>TEXT(IFERROR(AVERAGE(M8:M24),0),"0%")</f>
        <v/>
      </c>
      <c r="P5" s="2" t="n"/>
    </row>
    <row r="6" ht="13.5" customHeight="1" s="47">
      <c r="A6" s="49" t="inlineStr">
        <is>
          <t>Step status options: Complete  |  In Progress  |  Not Started        Row colour = Review status        Gate: Step 3 (Mock_Work) must be Complete before Step 4 (Widget Final Design) starts; Step 4 must be Complete before Step 5 (API documents) starts.</t>
        </is>
      </c>
    </row>
    <row r="7" ht="30" customHeight="1" s="47">
      <c r="A7" s="3" t="inlineStr">
        <is>
          <t>#</t>
        </is>
      </c>
      <c r="B7" s="3" t="inlineStr">
        <is>
          <t>Widget Name</t>
        </is>
      </c>
      <c r="C7" s="3" t="inlineStr">
        <is>
          <t>Review Status</t>
        </is>
      </c>
      <c r="D7" s="3" t="inlineStr">
        <is>
          <t>Content Type</t>
        </is>
      </c>
      <c r="E7" s="3" t="inlineStr">
        <is>
          <t>Effort</t>
        </is>
      </c>
      <c r="F7" s="3" t="inlineStr">
        <is>
          <t>Priority</t>
        </is>
      </c>
      <c r="G7" s="3" t="inlineStr">
        <is>
          <t>Step 1
Purpose</t>
        </is>
      </c>
      <c r="H7" s="3" t="inlineStr">
        <is>
          <t>Step 2
Feedback</t>
        </is>
      </c>
      <c r="I7" s="3" t="inlineStr">
        <is>
          <t>Step 3
Mock_Work</t>
        </is>
      </c>
      <c r="J7" s="3" t="inlineStr">
        <is>
          <t>Step 4
Widget Final Design</t>
        </is>
      </c>
      <c r="K7" s="3" t="inlineStr">
        <is>
          <t>Step 5
API documents</t>
        </is>
      </c>
      <c r="L7" s="3" t="inlineStr">
        <is>
          <t>Step 6
Desgin Sign Off</t>
        </is>
      </c>
      <c r="M7" s="3" t="inlineStr">
        <is>
          <t>% Complete</t>
        </is>
      </c>
      <c r="N7" s="3" t="inlineStr">
        <is>
          <t>Assigned To</t>
        </is>
      </c>
      <c r="O7" s="3" t="inlineStr">
        <is>
          <t>Target Date</t>
        </is>
      </c>
      <c r="P7" s="3" t="inlineStr">
        <is>
          <t>Notes / Blockers</t>
        </is>
      </c>
    </row>
    <row r="8" ht="19.5" customHeight="1" s="47">
      <c r="A8" s="4" t="n">
        <v>1</v>
      </c>
      <c r="B8" s="5" t="inlineStr">
        <is>
          <t>Budget Compared to Actual</t>
        </is>
      </c>
      <c r="C8" s="6" t="inlineStr">
        <is>
          <t>Needs light review</t>
        </is>
      </c>
      <c r="D8" s="6" t="inlineStr">
        <is>
          <t>Table + Graph</t>
        </is>
      </c>
      <c r="E8" s="7" t="inlineStr">
        <is>
          <t>Low</t>
        </is>
      </c>
      <c r="F8" s="6" t="n">
        <v>1</v>
      </c>
      <c r="G8" s="8" t="inlineStr">
        <is>
          <t>Complete</t>
        </is>
      </c>
      <c r="H8" s="8" t="inlineStr">
        <is>
          <t>Complete</t>
        </is>
      </c>
      <c r="I8" s="9" t="inlineStr">
        <is>
          <t>Complete</t>
        </is>
      </c>
      <c r="J8" s="9" t="inlineStr">
        <is>
          <t>Complete</t>
        </is>
      </c>
      <c r="K8" s="9" t="inlineStr">
        <is>
          <t>In Progress</t>
        </is>
      </c>
      <c r="L8" s="9" t="inlineStr">
        <is>
          <t>Not Started</t>
        </is>
      </c>
      <c r="M8" s="10">
        <f>COUNTIF(G8:L8,"Complete")/6</f>
        <v/>
      </c>
      <c r="N8" s="11" t="n"/>
      <c r="O8" s="11" t="n"/>
      <c r="P8" s="12" t="inlineStr">
        <is>
          <t>Design close to done — pending your own check before marking Complete</t>
        </is>
      </c>
    </row>
    <row r="9" ht="19.5" customHeight="1" s="47">
      <c r="A9" s="13" t="n">
        <v>2</v>
      </c>
      <c r="B9" s="14" t="inlineStr">
        <is>
          <t>Pension Plans</t>
        </is>
      </c>
      <c r="C9" s="15" t="inlineStr">
        <is>
          <t>Ready to re-design</t>
        </is>
      </c>
      <c r="D9" s="15" t="inlineStr">
        <is>
          <t>Table + Graph</t>
        </is>
      </c>
      <c r="E9" s="7" t="inlineStr">
        <is>
          <t>Low</t>
        </is>
      </c>
      <c r="F9" s="15" t="n">
        <v>2</v>
      </c>
      <c r="G9" s="8" t="inlineStr">
        <is>
          <t>Complete</t>
        </is>
      </c>
      <c r="H9" s="8" t="inlineStr">
        <is>
          <t>Complete</t>
        </is>
      </c>
      <c r="I9" s="9" t="inlineStr">
        <is>
          <t>Complete</t>
        </is>
      </c>
      <c r="J9" s="9" t="inlineStr">
        <is>
          <t>Complete</t>
        </is>
      </c>
      <c r="K9" s="9" t="inlineStr">
        <is>
          <t>Not Started</t>
        </is>
      </c>
      <c r="L9" s="9" t="inlineStr">
        <is>
          <t>Not Started</t>
        </is>
      </c>
      <c r="M9" s="16">
        <f>COUNTIF(G9:L9,"Complete")/6</f>
        <v/>
      </c>
      <c r="N9" s="17" t="n"/>
      <c r="O9" s="17" t="n"/>
      <c r="P9" s="18" t="n"/>
    </row>
    <row r="10" ht="19.5" customHeight="1" s="47">
      <c r="A10" s="4" t="n">
        <v>3</v>
      </c>
      <c r="B10" s="5" t="inlineStr">
        <is>
          <t>Payroll Distributions</t>
        </is>
      </c>
      <c r="C10" s="6" t="inlineStr">
        <is>
          <t>Needs light review</t>
        </is>
      </c>
      <c r="D10" s="6" t="inlineStr">
        <is>
          <t>Table + Graph</t>
        </is>
      </c>
      <c r="E10" s="7" t="inlineStr">
        <is>
          <t>Low</t>
        </is>
      </c>
      <c r="F10" s="6" t="n">
        <v>3</v>
      </c>
      <c r="G10" s="8" t="inlineStr">
        <is>
          <t>Complete</t>
        </is>
      </c>
      <c r="H10" s="8" t="inlineStr">
        <is>
          <t>Complete</t>
        </is>
      </c>
      <c r="I10" s="9" t="inlineStr">
        <is>
          <t>Complete</t>
        </is>
      </c>
      <c r="J10" s="9" t="inlineStr">
        <is>
          <t>Complete</t>
        </is>
      </c>
      <c r="K10" s="9" t="inlineStr">
        <is>
          <t>Complete</t>
        </is>
      </c>
      <c r="L10" s="9" t="inlineStr">
        <is>
          <t>Complete</t>
        </is>
      </c>
      <c r="M10" s="10">
        <f>COUNTIF(G10:L10,"Complete")/6</f>
        <v/>
      </c>
      <c r="N10" s="11" t="n"/>
      <c r="O10" s="11" t="n"/>
      <c r="P10" s="12" t="n"/>
    </row>
    <row r="11" ht="19.5" customHeight="1" s="47">
      <c r="A11" s="4" t="n">
        <v>4</v>
      </c>
      <c r="B11" s="5" t="inlineStr">
        <is>
          <t>Remittance Pledges</t>
        </is>
      </c>
      <c r="C11" s="6" t="inlineStr">
        <is>
          <t>Needs light review</t>
        </is>
      </c>
      <c r="D11" s="6" t="inlineStr">
        <is>
          <t>Table</t>
        </is>
      </c>
      <c r="E11" s="7" t="inlineStr">
        <is>
          <t>Low</t>
        </is>
      </c>
      <c r="F11" s="6" t="n">
        <v>4</v>
      </c>
      <c r="G11" s="8" t="inlineStr">
        <is>
          <t>Complete</t>
        </is>
      </c>
      <c r="H11" s="8" t="inlineStr">
        <is>
          <t>Complete</t>
        </is>
      </c>
      <c r="I11" s="9" t="inlineStr">
        <is>
          <t>In Progress</t>
        </is>
      </c>
      <c r="J11" s="9" t="inlineStr">
        <is>
          <t>Not Started</t>
        </is>
      </c>
      <c r="K11" s="9" t="inlineStr">
        <is>
          <t>Not Started</t>
        </is>
      </c>
      <c r="L11" s="9" t="inlineStr">
        <is>
          <t>Not Started</t>
        </is>
      </c>
      <c r="M11" s="10">
        <f>COUNTIF(G11:L11,"Complete")/6</f>
        <v/>
      </c>
      <c r="N11" s="11" t="n"/>
      <c r="O11" s="11" t="n"/>
      <c r="P11" s="12" t="inlineStr">
        <is>
          <t>Date defaults to today — users often see no data until changing it</t>
        </is>
      </c>
    </row>
    <row r="12" ht="19.5" customHeight="1" s="47">
      <c r="A12" s="19" t="n">
        <v>5</v>
      </c>
      <c r="B12" s="20" t="inlineStr">
        <is>
          <t>Receivable Invoices Outstanding</t>
        </is>
      </c>
      <c r="C12" s="21" t="inlineStr">
        <is>
          <t>Needs significant review</t>
        </is>
      </c>
      <c r="D12" s="21" t="inlineStr">
        <is>
          <t>Table + Graph</t>
        </is>
      </c>
      <c r="E12" s="22" t="inlineStr">
        <is>
          <t>High</t>
        </is>
      </c>
      <c r="F12" s="21" t="n">
        <v>5</v>
      </c>
      <c r="G12" s="8" t="inlineStr">
        <is>
          <t>Complete</t>
        </is>
      </c>
      <c r="H12" s="8" t="inlineStr">
        <is>
          <t>Complete</t>
        </is>
      </c>
      <c r="I12" s="9" t="inlineStr">
        <is>
          <t>In Progress</t>
        </is>
      </c>
      <c r="J12" s="9" t="inlineStr">
        <is>
          <t>Not Started</t>
        </is>
      </c>
      <c r="K12" s="9" t="inlineStr">
        <is>
          <t>Not Started</t>
        </is>
      </c>
      <c r="L12" s="9" t="inlineStr">
        <is>
          <t>Not Started</t>
        </is>
      </c>
      <c r="M12" s="23">
        <f>COUNTIF(G12:L12,"Complete")/6</f>
        <v/>
      </c>
      <c r="N12" s="24" t="n"/>
      <c r="O12" s="24" t="n"/>
      <c r="P12" s="25" t="inlineStr">
        <is>
          <t>Drill-down + 4 tabs (Details / Attachments / Notes / Payments) + 5 aging buckets</t>
        </is>
      </c>
    </row>
    <row r="13" ht="19.5" customHeight="1" s="47">
      <c r="A13" s="4" t="n">
        <v>6</v>
      </c>
      <c r="B13" s="5" t="inlineStr">
        <is>
          <t>Insurance Billing Plans</t>
        </is>
      </c>
      <c r="C13" s="6" t="inlineStr">
        <is>
          <t>Needs light review</t>
        </is>
      </c>
      <c r="D13" s="6" t="inlineStr">
        <is>
          <t>Table + Graph</t>
        </is>
      </c>
      <c r="E13" s="7" t="inlineStr">
        <is>
          <t>Low</t>
        </is>
      </c>
      <c r="F13" s="6" t="n">
        <v>6</v>
      </c>
      <c r="G13" s="8" t="inlineStr">
        <is>
          <t>Complete</t>
        </is>
      </c>
      <c r="H13" s="8" t="inlineStr">
        <is>
          <t>Complete</t>
        </is>
      </c>
      <c r="I13" s="9" t="inlineStr">
        <is>
          <t>In Progress</t>
        </is>
      </c>
      <c r="J13" s="9" t="inlineStr">
        <is>
          <t>Not Started</t>
        </is>
      </c>
      <c r="K13" s="9" t="inlineStr">
        <is>
          <t>Not Started</t>
        </is>
      </c>
      <c r="L13" s="9" t="inlineStr">
        <is>
          <t>Not Started</t>
        </is>
      </c>
      <c r="M13" s="10">
        <f>COUNTIF(G13:L13,"Complete")/6</f>
        <v/>
      </c>
      <c r="N13" s="11" t="n"/>
      <c r="O13" s="11" t="n"/>
      <c r="P13" s="12" t="n"/>
    </row>
    <row r="14" ht="19.2" customHeight="1" s="47">
      <c r="A14" s="13" t="n">
        <v>7</v>
      </c>
      <c r="B14" s="14" t="inlineStr">
        <is>
          <t>Deposit Accounts</t>
        </is>
      </c>
      <c r="C14" s="15" t="inlineStr">
        <is>
          <t>Ready to re-design</t>
        </is>
      </c>
      <c r="D14" s="15" t="inlineStr">
        <is>
          <t>Table + Graph</t>
        </is>
      </c>
      <c r="E14" s="26" t="inlineStr">
        <is>
          <t>Medium</t>
        </is>
      </c>
      <c r="F14" s="15" t="n">
        <v>7</v>
      </c>
      <c r="G14" s="8" t="inlineStr">
        <is>
          <t>Complete</t>
        </is>
      </c>
      <c r="H14" s="8" t="inlineStr">
        <is>
          <t>Complete</t>
        </is>
      </c>
      <c r="I14" s="9" t="inlineStr">
        <is>
          <t>Complete</t>
        </is>
      </c>
      <c r="J14" s="9" t="inlineStr">
        <is>
          <t>Complete</t>
        </is>
      </c>
      <c r="K14" s="9" t="inlineStr">
        <is>
          <t>In Progress</t>
        </is>
      </c>
      <c r="L14" s="9" t="inlineStr">
        <is>
          <t>Not Started</t>
        </is>
      </c>
      <c r="M14" s="16">
        <f>COUNTIF(G14:L14,"Complete")/6</f>
        <v/>
      </c>
      <c r="N14" s="17" t="n"/>
      <c r="O14" s="17" t="n"/>
      <c r="P14" s="18" t="inlineStr">
        <is>
          <t>Filter affects table only — pie chart always shows all accounts</t>
        </is>
      </c>
    </row>
    <row r="15" ht="19.5" customHeight="1" s="47">
      <c r="A15" s="19" t="n">
        <v>8</v>
      </c>
      <c r="B15" s="20" t="inlineStr">
        <is>
          <t>My Status</t>
        </is>
      </c>
      <c r="C15" s="21" t="inlineStr">
        <is>
          <t>Needs significant review</t>
        </is>
      </c>
      <c r="D15" s="21" t="inlineStr">
        <is>
          <t>Table</t>
        </is>
      </c>
      <c r="E15" s="22" t="inlineStr">
        <is>
          <t>High</t>
        </is>
      </c>
      <c r="F15" s="21" t="n">
        <v>8</v>
      </c>
      <c r="G15" s="8" t="inlineStr">
        <is>
          <t>Complete</t>
        </is>
      </c>
      <c r="H15" s="8" t="inlineStr">
        <is>
          <t>Complete</t>
        </is>
      </c>
      <c r="I15" s="9" t="inlineStr">
        <is>
          <t>Not Started</t>
        </is>
      </c>
      <c r="J15" s="9" t="inlineStr">
        <is>
          <t>Not Started</t>
        </is>
      </c>
      <c r="K15" s="9" t="inlineStr">
        <is>
          <t>Not Started</t>
        </is>
      </c>
      <c r="L15" s="9" t="inlineStr">
        <is>
          <t>Not Started</t>
        </is>
      </c>
      <c r="M15" s="23">
        <f>COUNTIF(G15:L15,"Complete")/6</f>
        <v/>
      </c>
      <c r="N15" s="24" t="n"/>
      <c r="O15" s="24" t="n"/>
      <c r="P15" s="25" t="inlineStr">
        <is>
          <t>21 configurable queries — DB tables per query TBC</t>
        </is>
      </c>
    </row>
    <row r="16" ht="19.5" customHeight="1" s="47">
      <c r="A16" s="19" t="n">
        <v>9</v>
      </c>
      <c r="B16" s="20" t="inlineStr">
        <is>
          <t>Payroll Scheduled Time Off</t>
        </is>
      </c>
      <c r="C16" s="21" t="inlineStr">
        <is>
          <t>Needs significant review</t>
        </is>
      </c>
      <c r="D16" s="21" t="inlineStr">
        <is>
          <t>Table</t>
        </is>
      </c>
      <c r="E16" s="22" t="inlineStr">
        <is>
          <t>High</t>
        </is>
      </c>
      <c r="F16" s="21" t="n">
        <v>9</v>
      </c>
      <c r="G16" s="8" t="inlineStr">
        <is>
          <t>Complete</t>
        </is>
      </c>
      <c r="H16" s="8" t="inlineStr">
        <is>
          <t>Complete</t>
        </is>
      </c>
      <c r="I16" s="9" t="inlineStr">
        <is>
          <t>In Progress</t>
        </is>
      </c>
      <c r="J16" s="9" t="inlineStr">
        <is>
          <t>Not Started</t>
        </is>
      </c>
      <c r="K16" s="9" t="inlineStr">
        <is>
          <t>Not Started</t>
        </is>
      </c>
      <c r="L16" s="9" t="inlineStr">
        <is>
          <t>Not Started</t>
        </is>
      </c>
      <c r="M16" s="23">
        <f>COUNTIF(G16:L16,"Complete")/6</f>
        <v/>
      </c>
      <c r="N16" s="24" t="n"/>
      <c r="O16" s="24" t="n"/>
      <c r="P16" s="25" t="inlineStr">
        <is>
          <t>Only widget with inline user actions (approve / deny time-off requests)</t>
        </is>
      </c>
    </row>
    <row r="17" ht="19.5" customHeight="1" s="47">
      <c r="A17" s="13" t="n">
        <v>10</v>
      </c>
      <c r="B17" s="14" t="inlineStr">
        <is>
          <t>Loans With Balance Due</t>
        </is>
      </c>
      <c r="C17" s="15" t="inlineStr">
        <is>
          <t>Ready to re-design</t>
        </is>
      </c>
      <c r="D17" s="15" t="inlineStr">
        <is>
          <t>Table + Graph</t>
        </is>
      </c>
      <c r="E17" s="26" t="inlineStr">
        <is>
          <t>Medium</t>
        </is>
      </c>
      <c r="F17" s="15" t="n">
        <v>10</v>
      </c>
      <c r="G17" s="8" t="inlineStr">
        <is>
          <t>Complete</t>
        </is>
      </c>
      <c r="H17" s="8" t="inlineStr">
        <is>
          <t>Complete</t>
        </is>
      </c>
      <c r="I17" s="9" t="inlineStr">
        <is>
          <t>In Progress</t>
        </is>
      </c>
      <c r="J17" s="9" t="inlineStr">
        <is>
          <t>Not Started</t>
        </is>
      </c>
      <c r="K17" s="9" t="inlineStr">
        <is>
          <t>Not Started</t>
        </is>
      </c>
      <c r="L17" s="9" t="inlineStr">
        <is>
          <t>Not Started</t>
        </is>
      </c>
      <c r="M17" s="16">
        <f>COUNTIF(G17:L17,"Complete")/6</f>
        <v/>
      </c>
      <c r="N17" s="17" t="n"/>
      <c r="O17" s="17" t="n"/>
      <c r="P17" s="18" t="inlineStr">
        <is>
          <t>Filter affects table only; aging labels misleading ("Over 60" = 90+ days)</t>
        </is>
      </c>
    </row>
    <row r="18" ht="19.5" customHeight="1" s="47">
      <c r="A18" s="19" t="n">
        <v>11</v>
      </c>
      <c r="B18" s="20" t="inlineStr">
        <is>
          <t>Fixed Asset Values</t>
        </is>
      </c>
      <c r="C18" s="21" t="inlineStr">
        <is>
          <t>Needs significant review</t>
        </is>
      </c>
      <c r="D18" s="21" t="inlineStr">
        <is>
          <t>Table + Graph</t>
        </is>
      </c>
      <c r="E18" s="22" t="inlineStr">
        <is>
          <t>High</t>
        </is>
      </c>
      <c r="F18" s="21" t="n">
        <v>11</v>
      </c>
      <c r="G18" s="8" t="inlineStr">
        <is>
          <t>Complete</t>
        </is>
      </c>
      <c r="H18" s="8" t="inlineStr">
        <is>
          <t>Complete</t>
        </is>
      </c>
      <c r="I18" s="9" t="inlineStr">
        <is>
          <t>In Progress</t>
        </is>
      </c>
      <c r="J18" s="9" t="inlineStr">
        <is>
          <t>Not Started</t>
        </is>
      </c>
      <c r="K18" s="9" t="inlineStr">
        <is>
          <t>Not Started</t>
        </is>
      </c>
      <c r="L18" s="9" t="inlineStr">
        <is>
          <t>Not Started</t>
        </is>
      </c>
      <c r="M18" s="23">
        <f>COUNTIF(G18:L18,"Complete")/6</f>
        <v/>
      </c>
      <c r="N18" s="24" t="n"/>
      <c r="O18" s="24" t="n"/>
      <c r="P18" s="25" t="inlineStr">
        <is>
          <t>3 cascaded dropdowns; DB tables TBC</t>
        </is>
      </c>
    </row>
    <row r="19" ht="19.5" customHeight="1" s="47">
      <c r="A19" s="4" t="n">
        <v>12</v>
      </c>
      <c r="B19" s="5" t="inlineStr">
        <is>
          <t>None (Empty Slot)</t>
        </is>
      </c>
      <c r="C19" s="6" t="inlineStr">
        <is>
          <t>Needs light review</t>
        </is>
      </c>
      <c r="D19" s="6" t="inlineStr">
        <is>
          <t>-</t>
        </is>
      </c>
      <c r="E19" s="7" t="inlineStr">
        <is>
          <t>Low</t>
        </is>
      </c>
      <c r="F19" s="6" t="n">
        <v>17</v>
      </c>
      <c r="G19" s="8" t="inlineStr">
        <is>
          <t>Complete</t>
        </is>
      </c>
      <c r="H19" s="8" t="inlineStr">
        <is>
          <t>Complete</t>
        </is>
      </c>
      <c r="I19" s="9" t="inlineStr">
        <is>
          <t>Not Started</t>
        </is>
      </c>
      <c r="J19" s="9" t="inlineStr">
        <is>
          <t>Not Started</t>
        </is>
      </c>
      <c r="K19" s="9" t="inlineStr">
        <is>
          <t>N/A</t>
        </is>
      </c>
      <c r="L19" s="9" t="inlineStr">
        <is>
          <t>Not Started</t>
        </is>
      </c>
      <c r="M19" s="10">
        <f>COUNTIF(G19:L19,"Complete")/6</f>
        <v/>
      </c>
      <c r="N19" s="11" t="n"/>
      <c r="O19" s="11" t="n"/>
      <c r="P19" s="12" t="inlineStr">
        <is>
          <t>Decision needed: keep or remove in new design?</t>
        </is>
      </c>
    </row>
    <row r="20" ht="19.5" customHeight="1" s="47">
      <c r="A20" s="19" t="n">
        <v>13</v>
      </c>
      <c r="B20" s="20" t="inlineStr">
        <is>
          <t>Purchasing Management</t>
        </is>
      </c>
      <c r="C20" s="21" t="inlineStr">
        <is>
          <t>Needs significant review</t>
        </is>
      </c>
      <c r="D20" s="21" t="inlineStr">
        <is>
          <t>Table + Graph</t>
        </is>
      </c>
      <c r="E20" s="22" t="inlineStr">
        <is>
          <t>High</t>
        </is>
      </c>
      <c r="F20" s="21" t="n">
        <v>12</v>
      </c>
      <c r="G20" s="8" t="inlineStr">
        <is>
          <t>Complete</t>
        </is>
      </c>
      <c r="H20" s="8" t="inlineStr">
        <is>
          <t>Complete</t>
        </is>
      </c>
      <c r="I20" s="9" t="inlineStr">
        <is>
          <t>In Progress</t>
        </is>
      </c>
      <c r="J20" s="9" t="inlineStr">
        <is>
          <t>Not Started</t>
        </is>
      </c>
      <c r="K20" s="9" t="inlineStr">
        <is>
          <t>Not Started</t>
        </is>
      </c>
      <c r="L20" s="9" t="inlineStr">
        <is>
          <t>Not Started</t>
        </is>
      </c>
      <c r="M20" s="23">
        <f>COUNTIF(G20:L20,"Complete")/6</f>
        <v/>
      </c>
      <c r="N20" s="24" t="n"/>
      <c r="O20" s="24" t="n"/>
      <c r="P20" s="25" t="inlineStr">
        <is>
          <t>Edit icon navigates away to full purchase order; DB tables TBC</t>
        </is>
      </c>
    </row>
    <row r="21" ht="19.5" customHeight="1" s="47">
      <c r="A21" s="4" t="n">
        <v>14</v>
      </c>
      <c r="B21" s="5" t="inlineStr">
        <is>
          <t>Main Content Tasks</t>
        </is>
      </c>
      <c r="C21" s="6" t="inlineStr">
        <is>
          <t>Needs light review</t>
        </is>
      </c>
      <c r="D21" s="6" t="inlineStr">
        <is>
          <t>Table</t>
        </is>
      </c>
      <c r="E21" s="7" t="inlineStr">
        <is>
          <t>Low</t>
        </is>
      </c>
      <c r="F21" s="6" t="n">
        <v>13</v>
      </c>
      <c r="G21" s="8" t="inlineStr">
        <is>
          <t>Complete</t>
        </is>
      </c>
      <c r="H21" s="8" t="inlineStr">
        <is>
          <t>Complete</t>
        </is>
      </c>
      <c r="I21" s="9" t="inlineStr">
        <is>
          <t>Complete</t>
        </is>
      </c>
      <c r="J21" s="9" t="inlineStr">
        <is>
          <t>Not Started</t>
        </is>
      </c>
      <c r="K21" s="9" t="inlineStr">
        <is>
          <t>Not Started</t>
        </is>
      </c>
      <c r="L21" s="9" t="inlineStr">
        <is>
          <t>Not Started</t>
        </is>
      </c>
      <c r="M21" s="10">
        <f>COUNTIF(G21:L21,"Complete")/6</f>
        <v/>
      </c>
      <c r="N21" s="11" t="n"/>
      <c r="O21" s="11" t="n"/>
      <c r="P21" s="12" t="inlineStr">
        <is>
          <t>System-controlled tiles; up to 8 navigation links; no user config</t>
        </is>
      </c>
    </row>
    <row r="22" ht="19.5" customHeight="1" s="47">
      <c r="A22" s="13" t="n">
        <v>15</v>
      </c>
      <c r="B22" s="14" t="inlineStr">
        <is>
          <t>Bank Balances</t>
        </is>
      </c>
      <c r="C22" s="15" t="inlineStr">
        <is>
          <t>Ready to re-design</t>
        </is>
      </c>
      <c r="D22" s="15" t="inlineStr">
        <is>
          <t>Table + Graph</t>
        </is>
      </c>
      <c r="E22" s="26" t="inlineStr">
        <is>
          <t>Medium</t>
        </is>
      </c>
      <c r="F22" s="15" t="n">
        <v>14</v>
      </c>
      <c r="G22" s="8" t="inlineStr">
        <is>
          <t>Complete</t>
        </is>
      </c>
      <c r="H22" s="8" t="inlineStr">
        <is>
          <t>Complete</t>
        </is>
      </c>
      <c r="I22" s="9" t="inlineStr">
        <is>
          <t>In Progress</t>
        </is>
      </c>
      <c r="J22" s="9" t="inlineStr">
        <is>
          <t>Not Started</t>
        </is>
      </c>
      <c r="K22" s="9" t="inlineStr">
        <is>
          <t>Not Started</t>
        </is>
      </c>
      <c r="L22" s="9" t="inlineStr">
        <is>
          <t>Not Started</t>
        </is>
      </c>
      <c r="M22" s="16">
        <f>COUNTIF(G22:L22,"Complete")/6</f>
        <v/>
      </c>
      <c r="N22" s="17" t="n"/>
      <c r="O22" s="17" t="n"/>
      <c r="P22" s="18" t="inlineStr">
        <is>
          <t>Dropdown switches entire widget layout and chart type</t>
        </is>
      </c>
    </row>
    <row r="23" ht="19.5" customHeight="1" s="47">
      <c r="A23" s="13" t="n">
        <v>16</v>
      </c>
      <c r="B23" s="14" t="inlineStr">
        <is>
          <t>Accounts Payable By Due Date</t>
        </is>
      </c>
      <c r="C23" s="15" t="inlineStr">
        <is>
          <t>Ready to re-design</t>
        </is>
      </c>
      <c r="D23" s="15" t="inlineStr">
        <is>
          <t>Table + Graph</t>
        </is>
      </c>
      <c r="E23" s="26" t="inlineStr">
        <is>
          <t>Medium</t>
        </is>
      </c>
      <c r="F23" s="15" t="n">
        <v>15</v>
      </c>
      <c r="G23" s="8" t="inlineStr">
        <is>
          <t>Complete</t>
        </is>
      </c>
      <c r="H23" s="8" t="inlineStr">
        <is>
          <t>Complete</t>
        </is>
      </c>
      <c r="I23" s="9" t="inlineStr">
        <is>
          <t>In Progress</t>
        </is>
      </c>
      <c r="J23" s="9" t="inlineStr">
        <is>
          <t>Not Started</t>
        </is>
      </c>
      <c r="K23" s="9" t="inlineStr">
        <is>
          <t>Not Started</t>
        </is>
      </c>
      <c r="L23" s="9" t="inlineStr">
        <is>
          <t>Not Started</t>
        </is>
      </c>
      <c r="M23" s="16">
        <f>COUNTIF(G23:L23,"Complete")/6</f>
        <v/>
      </c>
      <c r="N23" s="17" t="n"/>
      <c r="O23" s="17" t="n"/>
      <c r="P23" s="18" t="inlineStr">
        <is>
          <t>Pie labels show amounts not dates — UX issue flagged for design</t>
        </is>
      </c>
    </row>
    <row r="24" ht="19.5" customHeight="1" s="47">
      <c r="A24" s="4" t="n">
        <v>17</v>
      </c>
      <c r="B24" s="5" t="inlineStr">
        <is>
          <t>Gifts Pledges</t>
        </is>
      </c>
      <c r="C24" s="6" t="inlineStr">
        <is>
          <t>Needs light review</t>
        </is>
      </c>
      <c r="D24" s="6" t="inlineStr">
        <is>
          <t>Table</t>
        </is>
      </c>
      <c r="E24" s="7" t="inlineStr">
        <is>
          <t>Low</t>
        </is>
      </c>
      <c r="F24" s="6" t="n">
        <v>16</v>
      </c>
      <c r="G24" s="8" t="inlineStr">
        <is>
          <t>Complete</t>
        </is>
      </c>
      <c r="H24" s="8" t="inlineStr">
        <is>
          <t>Complete</t>
        </is>
      </c>
      <c r="I24" s="9" t="inlineStr">
        <is>
          <t>In Progress</t>
        </is>
      </c>
      <c r="J24" s="9" t="inlineStr">
        <is>
          <t>Not Started</t>
        </is>
      </c>
      <c r="K24" s="9" t="inlineStr">
        <is>
          <t>Not Started</t>
        </is>
      </c>
      <c r="L24" s="9" t="inlineStr">
        <is>
          <t>Not Started</t>
        </is>
      </c>
      <c r="M24" s="10">
        <f>COUNTIF(G24:L24,"Complete")/6</f>
        <v/>
      </c>
      <c r="N24" s="11" t="n"/>
      <c r="O24" s="11" t="n"/>
      <c r="P24" s="12" t="inlineStr">
        <is>
          <t>Date filter persists on refresh (unlike Remittance Pledges which resets)</t>
        </is>
      </c>
    </row>
  </sheetData>
  <mergeCells count="3">
    <mergeCell ref="A6:P6"/>
    <mergeCell ref="A1:P1"/>
    <mergeCell ref="A2:P2"/>
  </mergeCells>
  <conditionalFormatting sqref="G8:L24">
    <cfRule type="expression" priority="2" dxfId="2">
      <formula>G8="Complete"</formula>
    </cfRule>
    <cfRule type="expression" priority="3" dxfId="1">
      <formula>G8="In Progress"</formula>
    </cfRule>
    <cfRule type="expression" priority="4" dxfId="0">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baseColWidth="8" defaultColWidth="8.6640625" defaultRowHeight="14.4"/>
  <cols>
    <col width="4" customWidth="1" style="47" min="1" max="1"/>
    <col width="24" customWidth="1" style="47" min="2" max="2"/>
    <col width="20" customWidth="1" style="47" min="3" max="3"/>
    <col width="22" customWidth="1" style="47" min="4" max="4"/>
    <col width="40" customWidth="1" style="47" min="5" max="5"/>
    <col width="28" customWidth="1" style="47" min="6" max="6"/>
    <col width="42" customWidth="1" style="47" min="7" max="7"/>
    <col width="38" customWidth="1" style="47" min="8" max="8"/>
    <col width="48" customWidth="1" style="47" min="9" max="10"/>
    <col width="44" customWidth="1" style="47" min="11" max="11"/>
  </cols>
  <sheetData>
    <row r="1" ht="30" customHeight="1" s="47">
      <c r="A1" s="48" t="inlineStr">
        <is>
          <t>Purpose Documents — Widget Investigation Summary</t>
        </is>
      </c>
    </row>
    <row r="2" ht="18" customHeight="1" s="47">
      <c r="A2" s="46" t="inlineStr">
        <is>
          <t>Step 1 of 6 — Purpose Documents Complete  |  Ministry Brands, Shelby Financials  |  17 Widgets Investigated</t>
        </is>
      </c>
    </row>
    <row r="3" ht="6" customHeight="1" s="47"/>
    <row r="4" ht="27.75" customHeight="1" s="47">
      <c r="A4" s="3" t="inlineStr">
        <is>
          <t>#</t>
        </is>
      </c>
      <c r="B4" s="3" t="inlineStr">
        <is>
          <t>Widget Name</t>
        </is>
      </c>
      <c r="C4" s="3" t="inlineStr">
        <is>
          <t>Module</t>
        </is>
      </c>
      <c r="D4" s="3" t="inlineStr">
        <is>
          <t>Review Status</t>
        </is>
      </c>
      <c r="E4" s="3" t="inlineStr">
        <is>
          <t>Purpose</t>
        </is>
      </c>
      <c r="F4" s="3" t="inlineStr">
        <is>
          <t>Database Tables</t>
        </is>
      </c>
      <c r="G4" s="3" t="inlineStr">
        <is>
          <t>What It Shows</t>
        </is>
      </c>
      <c r="H4" s="3" t="inlineStr">
        <is>
          <t>How It's Displayed</t>
        </is>
      </c>
      <c r="I4" s="3" t="inlineStr">
        <is>
          <t>Filters &amp; Controls</t>
        </is>
      </c>
      <c r="J4" s="3" t="inlineStr">
        <is>
          <t>Interactions &amp; Connections</t>
        </is>
      </c>
      <c r="K4" s="3" t="inlineStr">
        <is>
          <t>Open Questions / Known Issues</t>
        </is>
      </c>
    </row>
    <row r="5" ht="120" customHeight="1" s="47">
      <c r="A5" s="27" t="n">
        <v>1</v>
      </c>
      <c r="B5" s="28" t="inlineStr">
        <is>
          <t>Budget Compared to Actual</t>
        </is>
      </c>
      <c r="C5" s="29" t="inlineStr">
        <is>
          <t>General Ledger</t>
        </is>
      </c>
      <c r="D5" s="30" t="inlineStr">
        <is>
          <t>Needs light review</t>
        </is>
      </c>
      <c r="E5" s="29" t="inlineStr">
        <is>
          <t>Shows how actual income/spending compares to budget across each period of the fiscal year (July–June). Helps users spot where they are ahead of or behind their financial plan.</t>
        </is>
      </c>
      <c r="F5" s="29" t="inlineStr">
        <is>
          <t>GLSummary
GLBudgetDetail
SSUserTenantPreferenceRepository</t>
        </is>
      </c>
      <c r="G5" s="29" t="inlineStr">
        <is>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is>
      </c>
      <c r="H5" s="29" t="inlineStr">
        <is>
          <t>Left: Bar chart — 2 bars per month (actual orange, budget purple)
Right: Line chart — 2 YTD lines with markers (actual orange, budget yellow)
Vertical scales differ — right is cumulative so much larger</t>
        </is>
      </c>
      <c r="I5" s="29" t="inlineStr">
        <is>
          <t>• Account selection (Income / Expense / Custom grouping) — saved per user
• Refresh
• Export to Excel (period + YTD figures for both actual and budget)
• Collapse widget</t>
        </is>
      </c>
      <c r="J5" s="29" t="inlineStr">
        <is>
          <t>• Account selection triggers automatic data refresh of both charts
• Chart type selector (widget dropdown) can replace this widget entirely
• No drill-down into individual transactions</t>
        </is>
      </c>
      <c r="K5" s="29" t="inlineStr">
        <is>
          <t>• Does this respond to global dashboard filters?
• Is July–June FY fixed or configurable per organisation?
• What API endpoint is called on Refresh?</t>
        </is>
      </c>
    </row>
    <row r="6" ht="120" customHeight="1" s="47">
      <c r="A6" s="31" t="n">
        <v>2</v>
      </c>
      <c r="B6" s="32" t="inlineStr">
        <is>
          <t>Pension Plans</t>
        </is>
      </c>
      <c r="C6" s="33" t="inlineStr">
        <is>
          <t>Pension Billing</t>
        </is>
      </c>
      <c r="D6" s="34" t="inlineStr">
        <is>
          <t>Ready to re-design</t>
        </is>
      </c>
      <c r="E6" s="33" t="inlineStr">
        <is>
          <t>Overview of annual pension plan contribution amounts by plan type, filterable by church district. Allows drill-down to individual appointee detail.</t>
        </is>
      </c>
      <c r="F6" s="33" t="inlineStr">
        <is>
          <t>PBAppointmentPlan
PBControlTable</t>
        </is>
      </c>
      <c r="G6" s="33" t="inlineStr">
        <is>
          <t>Annual contribution split across active plan types. Active = started, not ended. Amounts are current-year annual rates — not cumulative lifetime totals. Totals row at bottom.</t>
        </is>
      </c>
      <c r="H6" s="33" t="inlineStr">
        <is>
          <t>Left: Table — plan name + annual amount + highlighted total row
Right: Pie chart — one segment per plan type, labelled with plan name
Both table and chart always show the same data</t>
        </is>
      </c>
      <c r="I6" s="33" t="inlineStr">
        <is>
          <t>• District dropdown (defaults to All Districts) — updates both table and chart
• Refresh
• Export to Excel — NOTE: exports appointee-level detail, not the plan summary shown on screen</t>
        </is>
      </c>
      <c r="J6" s="33" t="inlineStr">
        <is>
          <t>• Changing district filter updates both table and chart simultaneously
• Clicking a plan row opens detail panel (Panel 1): individual appointees — name, organisation, annual amount
• District filter carries through into detail panel</t>
        </is>
      </c>
      <c r="K6" s="33" t="inlineStr">
        <is>
          <t>• Does this respond to global dashboard filters?
• Is the chart type (pie) fixed or can it be changed by the user?
• What API is called on Refresh?</t>
        </is>
      </c>
    </row>
    <row r="7" ht="120" customHeight="1" s="47">
      <c r="A7" s="27" t="n">
        <v>3</v>
      </c>
      <c r="B7" s="28" t="inlineStr">
        <is>
          <t>Payroll Distributions</t>
        </is>
      </c>
      <c r="C7" s="29" t="inlineStr">
        <is>
          <t>Payroll</t>
        </is>
      </c>
      <c r="D7" s="30" t="inlineStr">
        <is>
          <t>Needs light review</t>
        </is>
      </c>
      <c r="E7" s="29" t="inlineStr">
        <is>
          <t>Shows payroll spend broken down by compensation category across a user-selected date range. Helps understand how total payroll is distributed across pay types.</t>
        </is>
      </c>
      <c r="F7" s="29" t="inlineStr">
        <is>
          <t>PRHistory
PRHistoryCompensation</t>
        </is>
      </c>
      <c r="G7" s="29" t="inlineStr">
        <is>
          <t>Total payroll split by compensation category for the selected period. Voided checks and internal check types are excluded — only real, valid payroll payments. No caching — always queries live data.</t>
        </is>
      </c>
      <c r="H7" s="29" t="inlineStr">
        <is>
          <t>Left: Table — compensation category + total amount + totals row (count + overall sum)
Right: Pie chart titled 'By Distributions' — one segment per category
Hover over pie segment shows exact amount</t>
        </is>
      </c>
      <c r="I7" s="29" t="inlineStr">
        <is>
          <t>• Beginning date — date picker (defaults to 1 Jan current year)
• Ending date — date picker (defaults to today)
• Refresh — reruns query with current date range</t>
        </is>
      </c>
      <c r="J7" s="29" t="inlineStr">
        <is>
          <t>• No drill-down — clicking a row or segment does not open further detail
• Hover over pie segment reveals the amount for that category
• No navigation away from dashboard</t>
        </is>
      </c>
      <c r="K7" s="39" t="inlineStr">
        <is>
          <t>• Does this respond to global dashboard filters?
• Is the date range saved as a preference or always resets to default on page load?
• Can the chart type switch?
🟡 CONFIRM: Is date range saved as preference or always resets?</t>
        </is>
      </c>
    </row>
    <row r="8" ht="120" customHeight="1" s="47">
      <c r="A8" s="27" t="n">
        <v>4</v>
      </c>
      <c r="B8" s="28" t="inlineStr">
        <is>
          <t>Remittance Pledges</t>
        </is>
      </c>
      <c r="C8" s="29" t="inlineStr">
        <is>
          <t>Remittance</t>
        </is>
      </c>
      <c r="D8" s="30" t="inlineStr">
        <is>
          <t>Needs light review</t>
        </is>
      </c>
      <c r="E8" s="29" t="inlineStr">
        <is>
          <t>Shows remittance pledge progress by activity type — what was pledged, expected by a date, paid, outstanding, and % paid.</t>
        </is>
      </c>
      <c r="F8" s="29" t="inlineStr">
        <is>
          <t>RMActivityRepository</t>
        </is>
      </c>
      <c r="G8" s="29" t="inlineStr">
        <is>
          <t>Table per activity type: Annual pledge, YTD Expected, YTD Paid, Outstanding, % Paid. 'Percent of year completed' calculated on-the-fly from days elapsed (not from DB). Totals row at bottom.
⚠️ Defaults to today — users typically see no data without changing the date first.</t>
        </is>
      </c>
      <c r="H8" s="29" t="inlineStr">
        <is>
          <t>Table only — no chart.
Rows ordered by sequence number.
Totals row at bottom summarising all columns.</t>
        </is>
      </c>
      <c r="I8" s="29" t="inlineStr">
        <is>
          <t>• Date Receipts Thru — date picker
  - Defaults to TODAY
  - ⚠️ PERSISTS on refresh — does not reset
  - % of year completed shown alongside
• Refresh</t>
        </is>
      </c>
      <c r="J8" s="29" t="inlineStr">
        <is>
          <t>• No drill-down, no interactive elements
• Table is entirely view-only
• No navigation away from dashboard</t>
        </is>
      </c>
      <c r="K8" s="39" t="inlineStr">
        <is>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is>
      </c>
    </row>
    <row r="9" ht="120" customHeight="1" s="47">
      <c r="A9" s="35" t="n">
        <v>5</v>
      </c>
      <c r="B9" s="36" t="inlineStr">
        <is>
          <t>Receivable Invoices Outstanding</t>
        </is>
      </c>
      <c r="C9" s="37" t="inlineStr">
        <is>
          <t>Accounts Receivable</t>
        </is>
      </c>
      <c r="D9" s="38" t="inlineStr">
        <is>
          <t>Needs significant review</t>
        </is>
      </c>
      <c r="E9" s="37" t="inlineStr">
        <is>
          <t>Shows outstanding unpaid invoices grouped by how overdue they are (aging buckets). Helps staff prioritise collection by seeing which amounts have been outstanding longest.</t>
        </is>
      </c>
      <c r="F9" s="37" t="inlineStr">
        <is>
          <t>ARInvoice
ARInvoiceDetail
APVendor</t>
        </is>
      </c>
      <c r="G9" s="37" t="inlineStr">
        <is>
          <t>Five aging buckets: Current (0–30 days), 31–60, 61–90, 91–120, 121+ days overdue. Only posted invoices with remaining balance shown. Voided excluded. Filter selections preserved on refresh.</t>
        </is>
      </c>
      <c r="H9" s="37" t="inlineStr">
        <is>
          <t>Left: Table — one row per aging bucket + highlighted totals row
Right: Pie chart titled 'Invoice Aging' — one segment per bucket
Hover over segment shows outstanding amount</t>
        </is>
      </c>
      <c r="I9" s="37" t="inlineStr">
        <is>
          <t>• Revenue Center dropdown (defaults to All Revenue Centers)
• Source dropdown (defaults to All Sources)
• ✅ BOTH affect table AND pie chart simultaneously
• Filter selections preserved on page refresh
• Refresh (clears cached data)</t>
        </is>
      </c>
      <c r="J9" s="37" t="inlineStr">
        <is>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is>
      </c>
      <c r="K9" s="37" t="inlineStr">
        <is>
          <t>• Does this respond to global dashboard filters?
• Are Revenue Center / Source filter options dynamically populated or a fixed list?</t>
        </is>
      </c>
    </row>
    <row r="10" ht="120" customHeight="1" s="47">
      <c r="A10" s="27" t="n">
        <v>6</v>
      </c>
      <c r="B10" s="28" t="inlineStr">
        <is>
          <t>Insurance Billing Plans</t>
        </is>
      </c>
      <c r="C10" s="29" t="inlineStr">
        <is>
          <t>Insurance Billing</t>
        </is>
      </c>
      <c r="D10" s="30" t="inlineStr">
        <is>
          <t>Needs light review</t>
        </is>
      </c>
      <c r="E10" s="29" t="inlineStr">
        <is>
          <t>Shows enrollment counts for each insurance plan, filterable by insurance type. Gives a quick overview of plan uptake across the organisation.</t>
        </is>
      </c>
      <c r="F10" s="29" t="inlineStr">
        <is>
          <t>IBPlan
IBType
IBEmployeePlans
IBEmployeeDependents</t>
        </is>
      </c>
      <c r="G10" s="29" t="inlineStr">
        <is>
          <t>Enrollment count per plan. ⚠️ Count includes both employees AND their dependents — not employees only. Plans with zero enrollments appear in table but NOT in pie chart.</t>
        </is>
      </c>
      <c r="H10" s="29" t="inlineStr">
        <is>
          <t>Left: Table — plan name + enrollment count + highlighted total row
Right: Pie chart — one segment per plan with at least 1 enrollment
Hover over segment shows enrollment count</t>
        </is>
      </c>
      <c r="I10" s="29" t="inlineStr">
        <is>
          <t>• Type dropdown (defaults to All Types)
  Examples: Dental, Medical, Property, Vision
  Updates BOTH table and chart
• Refresh</t>
        </is>
      </c>
      <c r="J10" s="29" t="inlineStr">
        <is>
          <t>• Changing type filter updates table and chart simultaneously
• Hover over pie segment shows enrollment count
• No drill-down — clicking a row or segment does not open further detail</t>
        </is>
      </c>
      <c r="K10" s="29" t="inlineStr">
        <is>
          <t>• Does this respond to global dashboard filters?
• Is the enrollment count live or a point-in-time snapshot?</t>
        </is>
      </c>
    </row>
    <row r="11" ht="120" customHeight="1" s="47">
      <c r="A11" s="31" t="n">
        <v>7</v>
      </c>
      <c r="B11" s="32" t="inlineStr">
        <is>
          <t>Deposit Accounts</t>
        </is>
      </c>
      <c r="C11" s="33" t="inlineStr">
        <is>
          <t>Deposits On Hand</t>
        </is>
      </c>
      <c r="D11" s="34" t="inlineStr">
        <is>
          <t>Ready to re-design</t>
        </is>
      </c>
      <c r="E11" s="33" t="inlineStr">
        <is>
          <t>Shows current ending balances across all active deposit accounts, grouped by account type. Snapshot of how much is held as of today.</t>
        </is>
      </c>
      <c r="F11" s="33" t="inlineStr">
        <is>
          <t>DHAccount
DHTypeRepository</t>
        </is>
      </c>
      <c r="G11" s="33" t="inlineStr">
        <is>
          <t>Individual account balances in table. Pie chart groups by account type for higher-level view. Accounts ordered by name then inception date.
⚠️ NAMING: Widget title = 'Deposit Accounts' but module/breadcrumb = 'Deposits On Hand'</t>
        </is>
      </c>
      <c r="H11" s="33" t="inlineStr">
        <is>
          <t>Left: Table — account name, inception date, account number, ending balance + totals row (count + combined balance)
Right: Pie chart titled 'By Account Type'
Hover over segment shows balance for that type</t>
        </is>
      </c>
      <c r="I11" s="33" t="inlineStr">
        <is>
          <t>• Account type dropdown (defaults to Show All)
  ⚠️ Affects TABLE ONLY — pie chart ALWAYS shows all account types regardless
• Refresh (clears cached data)</t>
        </is>
      </c>
      <c r="J11" s="33" t="inlineStr">
        <is>
          <t>• Hover over pie segment reveals balance for that type
• No drill-down
• ⚠️ Filter/chart split is a known UX issue — raise in Feedback step</t>
        </is>
      </c>
      <c r="K11" s="39" t="inlineStr">
        <is>
          <t>• Filter affects table but not chart — is this intentional or a design bug? Worth raising in Feedback.
• Naming inconsistency between widget title and module name — which should the redesign use?
🟡 DECISION: Filter affects table only — not chart. Intentional or bug? Raise with product.</t>
        </is>
      </c>
    </row>
    <row r="12" ht="120" customHeight="1" s="47">
      <c r="A12" s="35" t="n">
        <v>8</v>
      </c>
      <c r="B12" s="36" t="inlineStr">
        <is>
          <t>My Status</t>
        </is>
      </c>
      <c r="C12" s="37" t="inlineStr">
        <is>
          <t>Multi-module</t>
        </is>
      </c>
      <c r="D12" s="38" t="inlineStr">
        <is>
          <t>Needs significant review</t>
        </is>
      </c>
      <c r="E12" s="37" t="inlineStr">
        <is>
          <t>Personalised summary panel showing the user a count of records needing attention across different areas of the system. Each user configures which of 21 queries they want to track.</t>
        </is>
      </c>
      <c r="F12" s="40" t="inlineStr">
        <is>
          <t>UserPreferences.MyStatus
(+ varies per query —
exact tables TBC per query)
⚠️ Partial — UserPreferences.MyStatus known, but exact tables for each of the 21 queries still TBC. Developer input needed.</t>
        </is>
      </c>
      <c r="G12" s="37" t="inlineStr">
        <is>
          <t>Two-column table: query name + record count. 21 selectable queries configurable per user. Rows with count &gt; 0 need attention. Rows with count = 0 not clickable. When no queries selected shows 'No records to display'.</t>
        </is>
      </c>
      <c r="H12" s="37" t="inlineStr">
        <is>
          <t>Table only — two columns: Query name | Record count
No chart. No date filter.</t>
        </is>
      </c>
      <c r="I12" s="37" t="inlineStr">
        <is>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is>
      </c>
      <c r="J12" s="37" t="inlineStr">
        <is>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is>
      </c>
      <c r="K12" s="41" t="inlineStr">
        <is>
          <t>• Which DB tables does each of the 21 queries touch? Needs full investigation per query.
• For queries that navigate away, can users return directly to the dashboard or must they navigate back manually?
🔴 NEEDS DEV: Which tables do each of the 21 queries touch?</t>
        </is>
      </c>
    </row>
    <row r="13" ht="120" customHeight="1" s="47">
      <c r="A13" s="35" t="n">
        <v>9</v>
      </c>
      <c r="B13" s="36" t="inlineStr">
        <is>
          <t>Payroll Scheduled Time Off</t>
        </is>
      </c>
      <c r="C13" s="37" t="inlineStr">
        <is>
          <t>Payroll</t>
        </is>
      </c>
      <c r="D13" s="38" t="inlineStr">
        <is>
          <t>Needs significant review</t>
        </is>
      </c>
      <c r="E13" s="37" t="inlineStr">
        <is>
          <t>Gives supervisors a view of scheduled time-off requests across their departments. Supervisors can approve or reject requests directly from this widget without going elsewhere.</t>
        </is>
      </c>
      <c r="F13" s="40" t="inlineStr">
        <is>
          <t>PREmployeeTimeOffApprovals
PayrollScheduledTimeOffFilters
(time-off records — exact table TBC)
⚠️ Partial — PREmployeeTimeOffApprovals and PayrollScheduledTimeOffFilters known, but the individual time-off records table is TBC. Developer input needed.</t>
        </is>
      </c>
      <c r="G13" s="37" t="inlineStr">
        <is>
          <t>3-level expandable list: Department → Employee → Daily detail. Shows pending and approved requests. Supervisors see only their own authorised departments.</t>
        </is>
      </c>
      <c r="H13" s="37" t="inlineStr">
        <is>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is>
      </c>
      <c r="I13" s="37" t="inlineStr">
        <is>
          <t>• Calendar Year dropdown — only years with time-off data (not fixed sequential list)
• View dropdown: Show All / Show Pending / Show Approved
• Both filter selections saved per user across sessions
• Refresh</t>
        </is>
      </c>
      <c r="J13" s="37" t="inlineStr">
        <is>
          <t>⚡ THE ONLY WIDGET with inline user actions:
• Checkbox at employee level → bulk approves ALL records for that employee
• Checkbox at daily level → approves that individual record
• Unchecking reverses the approval
• No navigation away from dashboard observed</t>
        </is>
      </c>
      <c r="K13" s="41" t="inlineStr">
        <is>
          <t>• What is the exact DB table holding the individual time-off records?
🔴 NEEDS DEV: Confirm exact time-off records table name.</t>
        </is>
      </c>
    </row>
    <row r="14" ht="120" customHeight="1" s="47">
      <c r="A14" s="31" t="n">
        <v>10</v>
      </c>
      <c r="B14" s="32" t="inlineStr">
        <is>
          <t>Loans With Balance Due</t>
        </is>
      </c>
      <c r="C14" s="33" t="inlineStr">
        <is>
          <t>Loan Processing</t>
        </is>
      </c>
      <c r="D14" s="34" t="inlineStr">
        <is>
          <t>Ready to re-design</t>
        </is>
      </c>
      <c r="E14" s="33" t="inlineStr">
        <is>
          <t>Shows all loans with an outstanding balance, grouped by how overdue they are. Helps staff see who owes money and how the loan book is ageing.</t>
        </is>
      </c>
      <c r="F14" s="33" t="inlineStr">
        <is>
          <t>LNLoan
LNInvoice
LNTypeRepository</t>
        </is>
      </c>
      <c r="G14" s="33" t="inlineStr">
        <is>
          <t>Table: account#, name, last payment date, amount due (principal + interest minus payments). Pie chart groups by 4 aging buckets. Loan types are org-defined, not a fixed list.
⚠️ 'Over 60' label actually means 90+ days — aging labels are misleading.</t>
        </is>
      </c>
      <c r="H14" s="33" t="inlineStr">
        <is>
          <t>Left: Table — account#, name, last payment date, amount due + totals row
Right: Pie chart titled 'By Age' — 4 buckets:
• Current (&lt;30 days)
• 30 (30–59 days)
• 60 (60–89 days)
• Over 60 (90+ days — mislabelled)
Hover shows balance per bucket</t>
        </is>
      </c>
      <c r="I14" s="33" t="inlineStr">
        <is>
          <t>• Select dropdown (defaults to Show All)
  ⚠️ Affects TABLE ONLY — pie chart ALWAYS shows all loan types
  Loan types = org-defined, not a fixed list
• Refresh</t>
        </is>
      </c>
      <c r="J14" s="33" t="inlineStr">
        <is>
          <t>• Account name links in table — destination not yet confirmed
• Hover over pie segment shows balance for that aging bucket
• ⚠️ Same table-only filter pattern as Deposit Accounts</t>
        </is>
      </c>
      <c r="K14" s="41" t="inlineStr">
        <is>
          <t>• Where do the account name links in the table navigate to?
• Aging labels are misleading — 'Over 60' = 90+ days. Flag for redesign.
🔴 NEEDS DEV: Where do account name links navigate?</t>
        </is>
      </c>
    </row>
    <row r="15" ht="120" customHeight="1" s="47">
      <c r="A15" s="35" t="n">
        <v>11</v>
      </c>
      <c r="B15" s="36" t="inlineStr">
        <is>
          <t>Fixed Asset Values</t>
        </is>
      </c>
      <c r="C15" s="37" t="inlineStr">
        <is>
          <t>Fixed Assets</t>
        </is>
      </c>
      <c r="D15" s="38" t="inlineStr">
        <is>
          <t>Needs significant review</t>
        </is>
      </c>
      <c r="E15" s="37" t="inlineStr">
        <is>
          <t>Shows financial values of fixed assets (buildings, vehicles, equipment) broken down by a user-chosen grouping. Three cascaded dropdowns control exactly what is shown.</t>
        </is>
      </c>
      <c r="F15" s="40" t="inlineStr">
        <is>
          <t>Fixed asset records
(exact table names TBC)
⚠️ Unknown — exact DB tables for fixed asset records not confirmed. Developer input needed.</t>
        </is>
      </c>
      <c r="G15" s="37" t="inlineStr">
        <is>
          <t>Five financial measures: Capitalized Value, Cost, Depreciable Value, Accumulated Depreciation, Net Value. Table shows individual assets in selected group; pie shows selected measure across ALL groups.</t>
        </is>
      </c>
      <c r="H15" s="37" t="inlineStr">
        <is>
          <t>Left: Table — Tag#, Name, all 5 financial values. Selected measure shown first in columns.
Right: Pie chart — selected measure spread across all groups. Zero-value groups excluded.
Both update when any dropdown changes.</t>
        </is>
      </c>
      <c r="I15" s="37" t="inlineStr">
        <is>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is>
      </c>
      <c r="J15" s="37" t="inlineStr">
        <is>
          <t>• Changing any dropdown updates both table and pie chart
• Pie always shows all groups; table shows only the selected group
• Hover over pie segment shows value for that group
• No drill-down or navigation away — view-only</t>
        </is>
      </c>
      <c r="K15" s="41" t="inlineStr">
        <is>
          <t>• What are the exact DB tables used for fixed asset records?
• 'None' appears as a table option and displays nothing — should this be removed?
🔴 NEEDS DEV: Confirm fixed asset DB table names.</t>
        </is>
      </c>
    </row>
    <row r="16" ht="120" customHeight="1" s="47">
      <c r="A16" s="27" t="n">
        <v>12</v>
      </c>
      <c r="B16" s="28" t="inlineStr">
        <is>
          <t>None (Empty Slot)</t>
        </is>
      </c>
      <c r="C16" s="29" t="inlineStr">
        <is>
          <t>N/A</t>
        </is>
      </c>
      <c r="D16" s="30" t="inlineStr">
        <is>
          <t>Needs light review</t>
        </is>
      </c>
      <c r="E16" s="29" t="inlineStr">
        <is>
          <t>A selectable option that renders an empty widget space. Allows a user to leave a dashboard slot blank rather than display a chart.</t>
        </is>
      </c>
      <c r="F16" s="29" t="inlineStr">
        <is>
          <t>N/A — no data fetched</t>
        </is>
      </c>
      <c r="G16" s="29" t="inlineStr">
        <is>
          <t>Nothing — intentionally blank panel with no content.</t>
        </is>
      </c>
      <c r="H16" s="29" t="inlineStr">
        <is>
          <t>Empty panel with collapse arrow only.
No content, no chart, no table.</t>
        </is>
      </c>
      <c r="I16" s="29" t="inlineStr">
        <is>
          <t>None.</t>
        </is>
      </c>
      <c r="J16" s="29" t="inlineStr">
        <is>
          <t>None.</t>
        </is>
      </c>
      <c r="K16" s="39" t="inlineStr">
        <is>
          <t>• Should the 'None' option exist in the new dashboard?
• Is there a valid use case for a blank widget slot, or should it be removed entirely from the redesign?
🟡 DECISION: Should 'None' (blank slot) exist in new dashboard?</t>
        </is>
      </c>
    </row>
    <row r="17" ht="120" customHeight="1" s="47">
      <c r="A17" s="35" t="n">
        <v>13</v>
      </c>
      <c r="B17" s="36" t="inlineStr">
        <is>
          <t>Purchasing Management</t>
        </is>
      </c>
      <c r="C17" s="37" t="inlineStr">
        <is>
          <t>Purchasing Management</t>
        </is>
      </c>
      <c r="D17" s="38" t="inlineStr">
        <is>
          <t>Needs significant review</t>
        </is>
      </c>
      <c r="E17" s="37" t="inlineStr">
        <is>
          <t>Shows purchase order requests by approval status. Lets staff see what needs approval, what they submitted, and what's been approved — plus the financial commitment (encumbrance) per period.</t>
        </is>
      </c>
      <c r="F17" s="40" t="inlineStr">
        <is>
          <t>Purchase order records
(exact table names TBC)
⚠️ Unknown — exact DB tables for purchase orders and encumbrance calculations not confirmed. Developer input needed.</t>
        </is>
      </c>
      <c r="G17" s="37" t="inlineStr">
        <is>
          <t>Left: PO request list filtered by status. Right: Encumbrance bar chart by accounting period. Admins see all orders; other users only see orders on their approval paths. Rejected orders never shown.</t>
        </is>
      </c>
      <c r="H17" s="37" t="inlineStr">
        <is>
          <t>Left: Table — order/requisition#, vendor, date issued, outstanding amount + totals row
• Column labels change by status: 'Order#' for approved, 'Requisition#' for pending
Right: Bar chart 'Encumbrances' — one bar per period with data, chronological
Hover shows encumbrance per period</t>
        </is>
      </c>
      <c r="I17" s="37" t="inlineStr">
        <is>
          <t>2 cascaded dropdowns (both saved per user):
1. Status: Awaiting my approval next / Awaiting my approval / Unapproved / Approved
2. Approval Path: changes dynamically based on status. Disabled if only one path. Defaults to 'All approval paths'.
• Refresh</t>
        </is>
      </c>
      <c r="J17" s="37" t="inlineStr">
        <is>
          <t>⚡ ACTION WIDGET: Each table row has an edit icon
→ Navigates AWAY to full PO record in Purchasing module
→ Record has tabs: Detail | Approvals | Attachments | Note | Payment Approval
Alongside Payroll Scheduled Time Off, one of only two action-capable widgets.</t>
        </is>
      </c>
      <c r="K17" s="41" t="inlineStr">
        <is>
          <t>• What are the exact DB tables for PO records and encumbrance calculations?
• Does the encumbrance chart update when the status/path filter changes, or always shows all periods regardless?
🔴 NEEDS DEV: Confirm PO and encumbrance DB table names.</t>
        </is>
      </c>
    </row>
    <row r="18" ht="120" customHeight="1" s="47">
      <c r="A18" s="27" t="n">
        <v>14</v>
      </c>
      <c r="B18" s="28" t="inlineStr">
        <is>
          <t>Main Content Tasks</t>
        </is>
      </c>
      <c r="C18" s="29" t="inlineStr">
        <is>
          <t>System-wide (context-aware)</t>
        </is>
      </c>
      <c r="D18" s="30" t="inlineStr">
        <is>
          <t>Needs light review</t>
        </is>
      </c>
      <c r="E18" s="29" t="inlineStr">
        <is>
          <t>A quick-access shortcut panel linking to common tasks relevant to the current page. Lets users jump to frequently used areas without menu navigation.</t>
        </is>
      </c>
      <c r="F18" s="29" t="inlineStr">
        <is>
          <t>SSScreenSectionTask</t>
        </is>
      </c>
      <c r="G18" s="29" t="inlineStr">
        <is>
          <t>Up to 8 icon+label tiles, each linking to a page in the system. Content is determined automatically by the current page context and the user's permissions. Inaccessible tasks are hidden (not greyed out).</t>
        </is>
      </c>
      <c r="H18" s="29" t="inlineStr">
        <is>
          <t>Grid of up to 8 tiles — each with icon + label.
No chart, no table, no filters, no refresh.
Purely navigational.</t>
        </is>
      </c>
      <c r="I18" s="29" t="inlineStr">
        <is>
          <t>None — entirely system-controlled. Not user-configurable.</t>
        </is>
      </c>
      <c r="J18" s="29" t="inlineStr">
        <is>
          <t>• Each tile navigates away from the dashboard to the relevant page
• Tiles shown change based on which page the dashboard is viewed from
• No user configuration available</t>
        </is>
      </c>
      <c r="K18" s="39" t="inlineStr">
        <is>
          <t>• Can an admin configure which tasks appear, or is it entirely system-controlled?
• In the new dashboard, should this be retained as-is, replaced with a user-configurable shortcut panel, or removed?
🟡 DECISION: Should Main Content Tasks be retained, replaced, or removed?</t>
        </is>
      </c>
    </row>
    <row r="19" ht="120" customHeight="1" s="47">
      <c r="A19" s="31" t="n">
        <v>15</v>
      </c>
      <c r="B19" s="32" t="inlineStr">
        <is>
          <t>Bank Balances</t>
        </is>
      </c>
      <c r="C19" s="33" t="inlineStr">
        <is>
          <t>Bank Account Management</t>
        </is>
      </c>
      <c r="D19" s="34" t="inlineStr">
        <is>
          <t>Ready to re-design</t>
        </is>
      </c>
      <c r="E19" s="33" t="inlineStr">
        <is>
          <t>Shows current balances across all bank accounts. Switching to a single account shows a breakdown of unreconciled activity since the last reconciliation.</t>
        </is>
      </c>
      <c r="F19" s="40" t="inlineStr">
        <is>
          <t>Bank account records
(exact table names TBC)
⚠️ Unknown — exact DB tables for bank account records and transaction data not confirmed. Developer input needed.</t>
        </is>
      </c>
      <c r="G19" s="33" t="inlineStr">
        <is>
          <t>TWO COMPLETELY DIFFERENT VIEWS depending on dropdown selection:
• All Accounts: table of all accounts + balance distribution pie chart
• Single Account: fixed 7-row activity breakdown + bar chart
Only UNRECONCILED items shown (post-reconciliation items excluded).</t>
        </is>
      </c>
      <c r="H19" s="33" t="inlineStr">
        <is>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is>
      </c>
      <c r="I19" s="33" t="inlineStr">
        <is>
          <t>• Account dropdown — defaults to 'All Bank Accounts' (if multiple accounts exist)
• ⚠️ Selecting an account SWITCHES THE ENTIRE LAYOUT — not just a filter
• Refresh (preserves current selection)</t>
        </is>
      </c>
      <c r="J19" s="33" t="inlineStr">
        <is>
          <t>• Dropdown switches layout AND chart type — most significant view-switching behaviour of any widget
• Hover over pie or bar segment shows value
• No drill-down or navigation away from dashboard</t>
        </is>
      </c>
      <c r="K19" s="41" t="inlineStr">
        <is>
          <t>• What are the exact DB tables for bank account records and transaction data?
• Should it be clearer to users that only unreconciled items are shown?
• Is showing negatives as positives in the bar chart confusing?
🔴 NEEDS DEV: Confirm bank account and transaction DB table names.</t>
        </is>
      </c>
    </row>
    <row r="20" ht="120" customHeight="1" s="47">
      <c r="A20" s="31" t="n">
        <v>16</v>
      </c>
      <c r="B20" s="32" t="inlineStr">
        <is>
          <t>Accounts Payable By Due Date</t>
        </is>
      </c>
      <c r="C20" s="33" t="inlineStr">
        <is>
          <t>Accounts Payable</t>
        </is>
      </c>
      <c r="D20" s="34" t="inlineStr">
        <is>
          <t>Ready to re-design</t>
        </is>
      </c>
      <c r="E20" s="33" t="inlineStr">
        <is>
          <t>Shows outstanding unpaid supplier invoices grouped by due date. Helps staff see what needs to be paid and when.</t>
        </is>
      </c>
      <c r="F20" s="33" t="inlineStr">
        <is>
          <t>APInvoice
APInvoiceDetails
APVendor</t>
        </is>
      </c>
      <c r="G20" s="33" t="inlineStr">
        <is>
          <t>Table of invoices for selected due date. Pie chart shows total amount across ALL due dates. Due dates in dropdown are actual invoice due dates from the system — not user-defined.</t>
        </is>
      </c>
      <c r="H20" s="33" t="inlineStr">
        <is>
          <t>Left: Table — vendor name, invoice#, amount due for selected date + totals row
Right: Pie chart 'By Due Date' — one segment per due date
⚠️ Pie segment LABELS show AMOUNTS not dates — potential UX confusion
Hover shows due date + amount</t>
        </is>
      </c>
      <c r="I20" s="33" t="inlineStr">
        <is>
          <t>• Due date dropdown — all distinct due dates from real invoices, earliest to latest
  'Total' option = show all invoices
  Defaults to EARLIEST due date
  ⚠️ Affects TABLE ONLY — pie always shows all dates
• Refresh (preserves current selection)</t>
        </is>
      </c>
      <c r="J20" s="33" t="inlineStr">
        <is>
          <t>• Hover over pie segment shows date + amount
• No drill-down
• ⚠️ Same table-only filter pattern as Deposit Accounts and Loans With Balance Due</t>
        </is>
      </c>
      <c r="K20" s="39" t="inlineStr">
        <is>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is>
      </c>
    </row>
    <row r="21" ht="120" customHeight="1" s="47">
      <c r="A21" s="27" t="n">
        <v>17</v>
      </c>
      <c r="B21" s="28" t="inlineStr">
        <is>
          <t>Gifts Pledges</t>
        </is>
      </c>
      <c r="C21" s="29" t="inlineStr">
        <is>
          <t>Donors and Gifts</t>
        </is>
      </c>
      <c r="D21" s="30" t="inlineStr">
        <is>
          <t>Needs light review</t>
        </is>
      </c>
      <c r="E21" s="29" t="inlineStr">
        <is>
          <t>Shows gift pledge progress by pledge purpose — tracking what was pledged vs received up to a chosen date. Useful for point-in-time pledge reporting.</t>
        </is>
      </c>
      <c r="F21" s="29" t="inlineStr">
        <is>
          <t>GFPledge</t>
        </is>
      </c>
      <c r="G21" s="29" t="inlineStr">
        <is>
          <t>Table per pledge purpose: Pledge Total, Pledge Due, Received, Due Remaining, Percent Due. Only gifts received on or before the selected date are counted. Totals row at bottom.</t>
        </is>
      </c>
      <c r="H21" s="29" t="inlineStr">
        <is>
          <t>Table only — no chart.
One row per pledge purpose + totals row at bottom.</t>
        </is>
      </c>
      <c r="I21" s="29" t="inlineStr">
        <is>
          <t>• Date Gifts Thru — date picker
  - Defaults to TODAY
  - ⚠️ PERSISTS on refresh (unlike Remittance Pledges which RESETS)
• Refresh (clears cache, reloads with current date)</t>
        </is>
      </c>
      <c r="J21" s="29" t="inlineStr">
        <is>
          <t>• No drill-down
• No navigation away from dashboard
• Table is view-only</t>
        </is>
      </c>
      <c r="K21" s="39" t="inlineStr">
        <is>
          <t>• Date persists on refresh — is this consistent with intended behaviour? Remittance Pledges resets but this one doesn't. Worth clarifying which behaviour is correct.
🟡 CONFIRM: Date persists unlike Remittance Pledges — is this intentional?</t>
        </is>
      </c>
    </row>
    <row r="23" ht="10.05" customHeight="1" s="47"/>
    <row r="24" ht="18" customHeight="1" s="47">
      <c r="A24" s="42" t="inlineStr">
        <is>
          <t>KEY:</t>
        </is>
      </c>
      <c r="B24" s="43" t="inlineStr">
        <is>
          <t>DB Tables — Info missing. Developer input needed.</t>
        </is>
      </c>
      <c r="D24" s="44" t="inlineStr">
        <is>
          <t>Open Question — Technical gap. Developer to investigate.</t>
        </is>
      </c>
      <c r="F24" s="45" t="inlineStr">
        <is>
          <t>Open Question — Decision or UX issue. Product/Design/Stakeholder input needed.</t>
        </is>
      </c>
    </row>
  </sheetData>
  <mergeCells count="3">
    <mergeCell ref="A2:K2"/>
    <mergeCell ref="A1:K1"/>
    <mergeCell ref="A23:K2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2026-07-06T22:34:43Z</dcterms:created>
  <dcterms:modified xmlns:dcterms="http://purl.org/dc/terms/" xmlns:xsi="http://www.w3.org/2001/XMLSchema-instance" xsi:type="dcterms:W3CDTF">2026-07-23T23:50:50Z</dcterms:modified>
  <cp:lastModifiedBy>Oisin Curran</cp:lastModifiedBy>
  <cp:revision>0</cp:revision>
</cp:coreProperties>
</file>