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500" firstSheet="0" activeTab="0" autoFilterDateGrouping="1"/>
  </bookViews>
  <sheets>
    <sheet xmlns:r="http://schemas.openxmlformats.org/officeDocument/2006/relationships" name="Dashboard Tracker" sheetId="1" state="visible" r:id="rId1"/>
    <sheet xmlns:r="http://schemas.openxmlformats.org/officeDocument/2006/relationships" name="Purpose" sheetId="2" state="visible" r:id="rId2"/>
  </sheets>
  <definedNames/>
  <calcPr calcId="191029" fullCalcOnLoad="1" iterateDelta="0.0001"/>
</workbook>
</file>

<file path=xl/styles.xml><?xml version="1.0" encoding="utf-8"?>
<styleSheet xmlns="http://schemas.openxmlformats.org/spreadsheetml/2006/main">
  <numFmts count="0"/>
  <fonts count="20">
    <font>
      <name val="Calibri"/>
      <charset val="1"/>
      <family val="2"/>
      <color theme="1"/>
      <sz val="11"/>
    </font>
    <font>
      <name val="Arial"/>
      <charset val="1"/>
      <b val="1"/>
      <color rgb="FFFFFFFF"/>
      <sz val="16"/>
    </font>
    <font>
      <name val="Arial"/>
      <charset val="1"/>
      <color rgb="FFFFFFFF"/>
      <sz val="10"/>
    </font>
    <font>
      <name val="Arial"/>
      <charset val="1"/>
      <b val="1"/>
      <color rgb="FFFFFFFF"/>
      <sz val="9"/>
    </font>
    <font>
      <name val="Arial"/>
      <charset val="1"/>
      <b val="1"/>
      <color rgb="FF000000"/>
      <sz val="10"/>
    </font>
    <font>
      <name val="Arial"/>
      <charset val="1"/>
      <color rgb="FF595959"/>
      <sz val="8"/>
    </font>
    <font>
      <name val="Arial"/>
      <charset val="1"/>
      <b val="1"/>
      <color rgb="FF000000"/>
      <sz val="9"/>
    </font>
    <font>
      <name val="Arial"/>
      <charset val="1"/>
      <color rgb="FF000000"/>
      <sz val="9"/>
    </font>
    <font>
      <name val="Arial"/>
      <charset val="1"/>
      <b val="1"/>
      <color rgb="FF276221"/>
      <sz val="9"/>
    </font>
    <font>
      <name val="Arial"/>
      <charset val="1"/>
      <color rgb="FF276221"/>
      <sz val="9"/>
    </font>
    <font>
      <name val="Arial"/>
      <charset val="1"/>
      <color rgb="FF595959"/>
      <sz val="9"/>
    </font>
    <font>
      <name val="Arial"/>
      <charset val="1"/>
      <color rgb="FF404040"/>
      <sz val="8"/>
    </font>
    <font>
      <name val="Arial"/>
      <charset val="1"/>
      <b val="1"/>
      <color rgb="FFC00000"/>
      <sz val="9"/>
    </font>
    <font>
      <name val="Arial"/>
      <charset val="1"/>
      <b val="1"/>
      <color rgb="FF9C6500"/>
      <sz val="9"/>
    </font>
    <font>
      <name val="Arial"/>
      <charset val="1"/>
      <b val="1"/>
      <color rgb="FFFFFFFF"/>
      <sz val="15"/>
    </font>
    <font>
      <name val="Arial"/>
      <charset val="1"/>
      <b val="1"/>
      <color rgb="FF1F5FA6"/>
      <sz val="9"/>
    </font>
    <font>
      <name val="Arial"/>
      <color rgb="FF9C0006"/>
      <sz val="9"/>
    </font>
    <font>
      <name val="Arial"/>
      <color rgb="FF7F4000"/>
      <sz val="9"/>
    </font>
    <font>
      <name val="Arial"/>
      <color rgb="FF5F4A00"/>
      <sz val="9"/>
    </font>
    <font>
      <name val="Arial"/>
      <b val="1"/>
      <color rgb="FF000000"/>
      <sz val="9"/>
    </font>
  </fonts>
  <fills count="16">
    <fill>
      <patternFill/>
    </fill>
    <fill>
      <patternFill patternType="gray125"/>
    </fill>
    <fill>
      <patternFill patternType="solid">
        <fgColor rgb="FF1F3864"/>
        <bgColor rgb="FF344E6E"/>
      </patternFill>
    </fill>
    <fill>
      <patternFill patternType="solid">
        <fgColor rgb="FF2E75B6"/>
        <bgColor rgb="FF1F5FA6"/>
      </patternFill>
    </fill>
    <fill>
      <patternFill patternType="solid">
        <fgColor rgb="FF344E6E"/>
        <bgColor rgb="FF404040"/>
      </patternFill>
    </fill>
    <fill>
      <patternFill patternType="solid">
        <fgColor rgb="FFEBF3FB"/>
        <bgColor rgb="FFF2F2F2"/>
      </patternFill>
    </fill>
    <fill>
      <patternFill patternType="solid">
        <fgColor rgb="FFF5F5F5"/>
        <bgColor rgb="FFF2F2F2"/>
      </patternFill>
    </fill>
    <fill>
      <patternFill patternType="solid">
        <fgColor rgb="FFE2EFDA"/>
        <bgColor rgb="FFDEEAF1"/>
      </patternFill>
    </fill>
    <fill>
      <patternFill patternType="solid">
        <fgColor rgb="FFC6EFCE"/>
        <bgColor rgb="FFE2EFDA"/>
      </patternFill>
    </fill>
    <fill>
      <patternFill patternType="solid">
        <fgColor rgb="FFF2F2F2"/>
        <bgColor rgb="FFF5F5F5"/>
      </patternFill>
    </fill>
    <fill>
      <patternFill patternType="solid">
        <fgColor rgb="FFDEEAF1"/>
        <bgColor rgb="FFE2EFDA"/>
      </patternFill>
    </fill>
    <fill>
      <patternFill patternType="solid">
        <fgColor rgb="FFFCE4D6"/>
        <bgColor rgb="FFFFF2CC"/>
      </patternFill>
    </fill>
    <fill>
      <patternFill patternType="solid">
        <fgColor rgb="FFFFF2CC"/>
        <bgColor rgb="FFFCE4D6"/>
      </patternFill>
    </fill>
    <fill>
      <patternFill patternType="solid">
        <fgColor rgb="FFFFC7CE"/>
      </patternFill>
    </fill>
    <fill>
      <patternFill patternType="solid">
        <fgColor rgb="FFFFC000"/>
      </patternFill>
    </fill>
    <fill>
      <patternFill patternType="solid">
        <f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pivotButton="0" quotePrefix="0" xfId="0"/>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3" fillId="3" borderId="0" applyAlignment="1" pivotButton="0" quotePrefix="0" xfId="0">
      <alignment horizontal="center" vertical="center" wrapText="1"/>
    </xf>
    <xf numFmtId="0" fontId="6" fillId="7" borderId="1" applyAlignment="1" pivotButton="0" quotePrefix="0" xfId="0">
      <alignment horizontal="center" vertical="center"/>
    </xf>
    <xf numFmtId="0" fontId="6" fillId="7" borderId="1" applyAlignment="1" pivotButton="0" quotePrefix="0" xfId="0">
      <alignment horizontal="left" vertical="center"/>
    </xf>
    <xf numFmtId="0" fontId="7" fillId="7" borderId="1" applyAlignment="1" pivotButton="0" quotePrefix="0" xfId="0">
      <alignment horizontal="center" vertical="center"/>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9" fontId="6" fillId="7" borderId="1" applyAlignment="1" pivotButton="0" quotePrefix="0" xfId="0">
      <alignment horizontal="center" vertical="center"/>
    </xf>
    <xf numFmtId="0" fontId="0" fillId="7" borderId="1" pivotButton="0" quotePrefix="0" xfId="0"/>
    <xf numFmtId="0" fontId="11" fillId="7" borderId="1" applyAlignment="1" pivotButton="0" quotePrefix="0" xfId="0">
      <alignment horizontal="left" vertical="center" wrapText="1"/>
    </xf>
    <xf numFmtId="0" fontId="6" fillId="10" borderId="1" applyAlignment="1" pivotButton="0" quotePrefix="0" xfId="0">
      <alignment horizontal="center" vertical="center"/>
    </xf>
    <xf numFmtId="0" fontId="6" fillId="10" borderId="1" applyAlignment="1" pivotButton="0" quotePrefix="0" xfId="0">
      <alignment horizontal="left" vertical="center"/>
    </xf>
    <xf numFmtId="0" fontId="7" fillId="10" borderId="1" applyAlignment="1" pivotButton="0" quotePrefix="0" xfId="0">
      <alignment horizontal="center" vertical="center"/>
    </xf>
    <xf numFmtId="9" fontId="6" fillId="10" borderId="1" applyAlignment="1" pivotButton="0" quotePrefix="0" xfId="0">
      <alignment horizontal="center" vertical="center"/>
    </xf>
    <xf numFmtId="0" fontId="0" fillId="10" borderId="1" pivotButton="0" quotePrefix="0" xfId="0"/>
    <xf numFmtId="0" fontId="11" fillId="10" borderId="1" applyAlignment="1" pivotButton="0" quotePrefix="0" xfId="0">
      <alignment horizontal="left" vertical="center" wrapText="1"/>
    </xf>
    <xf numFmtId="0" fontId="6" fillId="11" borderId="1" applyAlignment="1" pivotButton="0" quotePrefix="0" xfId="0">
      <alignment horizontal="center" vertical="center"/>
    </xf>
    <xf numFmtId="0" fontId="6" fillId="11" borderId="1" applyAlignment="1" pivotButton="0" quotePrefix="0" xfId="0">
      <alignment horizontal="left" vertical="center"/>
    </xf>
    <xf numFmtId="0" fontId="7" fillId="11" borderId="1" applyAlignment="1" pivotButton="0" quotePrefix="0" xfId="0">
      <alignment horizontal="center" vertical="center"/>
    </xf>
    <xf numFmtId="0" fontId="12" fillId="11" borderId="1" applyAlignment="1" pivotButton="0" quotePrefix="0" xfId="0">
      <alignment horizontal="center" vertical="center"/>
    </xf>
    <xf numFmtId="9" fontId="6" fillId="11" borderId="1" applyAlignment="1" pivotButton="0" quotePrefix="0" xfId="0">
      <alignment horizontal="center" vertical="center"/>
    </xf>
    <xf numFmtId="0" fontId="0" fillId="11" borderId="1" pivotButton="0" quotePrefix="0" xfId="0"/>
    <xf numFmtId="0" fontId="11" fillId="11" borderId="1" applyAlignment="1" pivotButton="0" quotePrefix="0" xfId="0">
      <alignment horizontal="left" vertical="center" wrapText="1"/>
    </xf>
    <xf numFmtId="0" fontId="13" fillId="12" borderId="1" applyAlignment="1" pivotButton="0" quotePrefix="0" xfId="0">
      <alignment horizontal="center" vertical="center"/>
    </xf>
    <xf numFmtId="0" fontId="6" fillId="7" borderId="1" applyAlignment="1" pivotButton="0" quotePrefix="0" xfId="0">
      <alignment horizontal="center" vertical="top"/>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8" fillId="7" borderId="1" applyAlignment="1" pivotButton="0" quotePrefix="0" xfId="0">
      <alignment horizontal="center" vertical="top" wrapText="1"/>
    </xf>
    <xf numFmtId="0" fontId="6" fillId="10" borderId="1" applyAlignment="1" pivotButton="0" quotePrefix="0" xfId="0">
      <alignment horizontal="center" vertical="top"/>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15" fillId="10" borderId="1" applyAlignment="1" pivotButton="0" quotePrefix="0" xfId="0">
      <alignment horizontal="center" vertical="top" wrapText="1"/>
    </xf>
    <xf numFmtId="0" fontId="6" fillId="11" borderId="1" applyAlignment="1" pivotButton="0" quotePrefix="0" xfId="0">
      <alignment horizontal="center" vertical="top"/>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12" fillId="11" borderId="1" applyAlignment="1" pivotButton="0" quotePrefix="0" xfId="0">
      <alignment horizontal="center" vertical="top" wrapText="1"/>
    </xf>
    <xf numFmtId="0" fontId="18" fillId="15" borderId="2" applyAlignment="1" pivotButton="0" quotePrefix="0" xfId="0">
      <alignment horizontal="left" vertical="top" wrapText="1"/>
    </xf>
    <xf numFmtId="0" fontId="16" fillId="13" borderId="2" applyAlignment="1" pivotButton="0" quotePrefix="0" xfId="0">
      <alignment horizontal="left" vertical="top" wrapText="1"/>
    </xf>
    <xf numFmtId="0" fontId="17" fillId="14" borderId="2" applyAlignment="1" pivotButton="0" quotePrefix="0" xfId="0">
      <alignment horizontal="left" vertical="top" wrapText="1"/>
    </xf>
    <xf numFmtId="0" fontId="19" fillId="0" borderId="0" applyAlignment="1" pivotButton="0" quotePrefix="0" xfId="0">
      <alignment horizontal="left" vertical="center"/>
    </xf>
    <xf numFmtId="0" fontId="16" fillId="13" borderId="0" applyAlignment="1" pivotButton="0" quotePrefix="0" xfId="0">
      <alignment horizontal="left" vertical="center"/>
    </xf>
    <xf numFmtId="0" fontId="17" fillId="14" borderId="0" applyAlignment="1" pivotButton="0" quotePrefix="0" xfId="0">
      <alignment horizontal="left" vertical="center"/>
    </xf>
    <xf numFmtId="0" fontId="18" fillId="15" borderId="0" applyAlignment="1" pivotButton="0" quotePrefix="0" xfId="0">
      <alignment horizontal="left" vertical="center"/>
    </xf>
    <xf numFmtId="0" fontId="2" fillId="3" borderId="0" applyAlignment="1" pivotButton="0" quotePrefix="0" xfId="0">
      <alignment horizontal="center" vertical="center"/>
    </xf>
    <xf numFmtId="0" fontId="0" fillId="0" borderId="0" pivotButton="0" quotePrefix="0" xfId="0"/>
    <xf numFmtId="0" fontId="14" fillId="2" borderId="0" applyAlignment="1" pivotButton="0" quotePrefix="0" xfId="0">
      <alignment horizontal="center" vertical="center"/>
    </xf>
    <xf numFmtId="0" fontId="5" fillId="6" borderId="0" applyAlignment="1" pivotButton="0" quotePrefix="0" xfId="0">
      <alignment horizontal="center" vertical="center"/>
    </xf>
    <xf numFmtId="0" fontId="1" fillId="2" borderId="0" applyAlignment="1" pivotButton="0" quotePrefix="0" xfId="0">
      <alignment horizontal="center" vertical="center"/>
    </xf>
  </cellXfs>
  <cellStyles count="1">
    <cellStyle name="Normal" xfId="0" builtinId="0"/>
  </cellStyles>
  <dxfs count="3">
    <dxf>
      <font>
        <name val="Arial"/>
        <charset val="1"/>
        <color rgb="FF595959"/>
        <sz val="9"/>
      </font>
      <fill>
        <patternFill>
          <bgColor rgb="FFF2F2F2"/>
        </patternFill>
      </fill>
    </dxf>
    <dxf>
      <font>
        <name val="Arial"/>
        <charset val="1"/>
        <color rgb="FF9C6500"/>
        <sz val="9"/>
      </font>
      <fill>
        <patternFill>
          <bgColor rgb="FFFFEB9C"/>
        </patternFill>
      </fill>
    </dxf>
    <dxf>
      <font>
        <name val="Arial"/>
        <charset val="1"/>
        <color rgb="FF276221"/>
        <sz val="9"/>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276221"/>
      <rgbColor rgb="FF000080"/>
      <rgbColor rgb="FF9C6500"/>
      <rgbColor rgb="FF800080"/>
      <rgbColor rgb="FF008080"/>
      <rgbColor rgb="FFBFBFBF"/>
      <rgbColor rgb="FF808080"/>
      <rgbColor rgb="FF9999FF"/>
      <rgbColor rgb="FF993366"/>
      <rgbColor rgb="FFFFF2CC"/>
      <rgbColor rgb="FFEBF3FB"/>
      <rgbColor rgb="FF660066"/>
      <rgbColor rgb="FFFF8080"/>
      <rgbColor rgb="FF1F5FA6"/>
      <rgbColor rgb="FFE2EFDA"/>
      <rgbColor rgb="FF000080"/>
      <rgbColor rgb="FFFF00FF"/>
      <rgbColor rgb="FFFFFF00"/>
      <rgbColor rgb="FF00FFFF"/>
      <rgbColor rgb="FF800080"/>
      <rgbColor rgb="FF800000"/>
      <rgbColor rgb="FF008080"/>
      <rgbColor rgb="FF0000FF"/>
      <rgbColor rgb="FF00CCFF"/>
      <rgbColor rgb="FFDEEAF1"/>
      <rgbColor rgb="FFC6EFCE"/>
      <rgbColor rgb="FFFFEB9C"/>
      <rgbColor rgb="FFF2F2F2"/>
      <rgbColor rgb="FFF5F5F5"/>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44E6E"/>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tabSelected="1" zoomScaleNormal="100" workbookViewId="0">
      <pane xSplit="2" ySplit="7" topLeftCell="C8" activePane="bottomRight" state="frozen"/>
      <selection pane="topRight" activeCell="C1" sqref="C1"/>
      <selection pane="bottomLeft" activeCell="A8" sqref="A8"/>
      <selection pane="bottomRight" activeCell="L15" sqref="L15"/>
    </sheetView>
  </sheetViews>
  <sheetFormatPr baseColWidth="8" defaultColWidth="8.6640625" defaultRowHeight="14.4"/>
  <cols>
    <col width="5" customWidth="1" style="47" min="1" max="1"/>
    <col width="28" customWidth="1" style="47" min="2" max="2"/>
    <col width="22" customWidth="1" style="47" min="3" max="3"/>
    <col width="14" customWidth="1" style="47" min="4" max="4"/>
    <col width="10" customWidth="1" style="47" min="5" max="5"/>
    <col width="8" customWidth="1" style="47" min="6" max="6"/>
    <col width="12" customWidth="1" style="47" min="7" max="9"/>
    <col width="11" customWidth="1" style="47" min="10" max="11"/>
    <col width="14" customWidth="1" style="47" min="12" max="12"/>
    <col width="11" customWidth="1" style="47" min="13" max="13"/>
    <col width="14" customWidth="1" style="47" min="14" max="14"/>
    <col width="13" customWidth="1" style="47" min="15" max="15"/>
    <col width="40" customWidth="1" style="47" min="16" max="16"/>
  </cols>
  <sheetData>
    <row r="1" ht="31.5" customHeight="1" s="47">
      <c r="A1" s="50" t="inlineStr">
        <is>
          <t>Dashboard Re-Platform Progress Tracker</t>
        </is>
      </c>
    </row>
    <row r="2" ht="19.5" customHeight="1" s="47">
      <c r="A2" s="46" t="inlineStr">
        <is>
          <t>Ministry Brands  |  Shelby Financials  |  Step 1 of 6 Complete – Purpose Documents Done</t>
        </is>
      </c>
    </row>
    <row r="3" ht="6" customHeight="1" s="47"/>
    <row r="4" ht="18" customHeight="1" s="47">
      <c r="A4" s="1" t="inlineStr">
        <is>
          <t>SUMMARY</t>
        </is>
      </c>
      <c r="B4" s="1" t="inlineStr">
        <is>
          <t>Total Widgets</t>
        </is>
      </c>
      <c r="C4" s="1" t="inlineStr">
        <is>
          <t>🟢 Light Review</t>
        </is>
      </c>
      <c r="D4" s="1" t="inlineStr">
        <is>
          <t>🔵 Re-Design</t>
        </is>
      </c>
      <c r="E4" s="1" t="inlineStr">
        <is>
          <t>🔴 Significant</t>
        </is>
      </c>
      <c r="F4" s="1" t="inlineStr">
        <is>
          <t>Low Effort</t>
        </is>
      </c>
      <c r="G4" s="1" t="inlineStr">
        <is>
          <t>Medium Effort</t>
        </is>
      </c>
      <c r="H4" s="1" t="inlineStr">
        <is>
          <t>High Effort</t>
        </is>
      </c>
      <c r="I4" s="1" t="inlineStr">
        <is>
          <t>Purpose ✓</t>
        </is>
      </c>
      <c r="J4" s="1" t="inlineStr">
        <is>
          <t>Feedback ✓</t>
        </is>
      </c>
      <c r="K4" s="1" t="inlineStr">
        <is>
          <t>Design ✓</t>
        </is>
      </c>
      <c r="L4" s="1" t="inlineStr">
        <is>
          <t>Dev ✓</t>
        </is>
      </c>
      <c r="M4" s="1" t="inlineStr">
        <is>
          <t>Review ✓</t>
        </is>
      </c>
      <c r="N4" s="1" t="inlineStr">
        <is>
          <t>Test ✓</t>
        </is>
      </c>
      <c r="O4" s="1" t="inlineStr">
        <is>
          <t>Overall %</t>
        </is>
      </c>
      <c r="P4" s="1" t="n"/>
    </row>
    <row r="5" ht="19.5" customHeight="1" s="47">
      <c r="A5" s="2" t="inlineStr">
        <is>
          <t>Counts</t>
        </is>
      </c>
      <c r="B5" s="2">
        <f>COUNTA(B8:B24)</f>
        <v/>
      </c>
      <c r="C5" s="2">
        <f>COUNTIF(C8:C24,"Needs light review")</f>
        <v/>
      </c>
      <c r="D5" s="2">
        <f>COUNTIF(C8:C24,"Ready to re-design")</f>
        <v/>
      </c>
      <c r="E5" s="2">
        <f>COUNTIF(C8:C24,"Needs significant review")</f>
        <v/>
      </c>
      <c r="F5" s="2">
        <f>COUNTIF(E8:E24,"Low")</f>
        <v/>
      </c>
      <c r="G5" s="2">
        <f>COUNTIF(E8:E24,"Medium")</f>
        <v/>
      </c>
      <c r="H5" s="2">
        <f>COUNTIF(E8:E24,"High")</f>
        <v/>
      </c>
      <c r="I5" s="2">
        <f>COUNTIF(G8:G24,"Complete")</f>
        <v/>
      </c>
      <c r="J5" s="2">
        <f>COUNTIF(H8:H24,"Complete")</f>
        <v/>
      </c>
      <c r="K5" s="2">
        <f>COUNTIF(J8:J24,"Complete")</f>
        <v/>
      </c>
      <c r="L5" s="2">
        <f>COUNTIF(J8:J24,"Complete")</f>
        <v/>
      </c>
      <c r="M5" s="2">
        <f>COUNTIF(K8:K24,"Complete")</f>
        <v/>
      </c>
      <c r="N5" s="2">
        <f>COUNTIF(L8:L24,"Complete")</f>
        <v/>
      </c>
      <c r="O5" s="2">
        <f>TEXT(IFERROR(AVERAGE(M8:M24),0),"0%")</f>
        <v/>
      </c>
      <c r="P5" s="2" t="n"/>
    </row>
    <row r="6" ht="13.5" customHeight="1" s="47">
      <c r="A6" s="49" t="inlineStr">
        <is>
          <t>Step status options: Complete  |  In Progress  |  Not Started        Row colour = Review status        Gate: Step 3 (Mock_Work) must be Complete before Step 4 (Widget Final Design) starts; Step 4 must be Complete before Step 5 (API documents) starts.</t>
        </is>
      </c>
    </row>
    <row r="7" ht="30" customHeight="1" s="47">
      <c r="A7" s="3" t="inlineStr">
        <is>
          <t>#</t>
        </is>
      </c>
      <c r="B7" s="3" t="inlineStr">
        <is>
          <t>Widget Name</t>
        </is>
      </c>
      <c r="C7" s="3" t="inlineStr">
        <is>
          <t>Review Status</t>
        </is>
      </c>
      <c r="D7" s="3" t="inlineStr">
        <is>
          <t>Content Type</t>
        </is>
      </c>
      <c r="E7" s="3" t="inlineStr">
        <is>
          <t>Effort</t>
        </is>
      </c>
      <c r="F7" s="3" t="inlineStr">
        <is>
          <t>Priority</t>
        </is>
      </c>
      <c r="G7" s="3" t="inlineStr">
        <is>
          <t>Step 1
Purpose</t>
        </is>
      </c>
      <c r="H7" s="3" t="inlineStr">
        <is>
          <t>Step 2
Feedback</t>
        </is>
      </c>
      <c r="I7" s="3" t="inlineStr">
        <is>
          <t>Step 3
Mock_Work</t>
        </is>
      </c>
      <c r="J7" s="3" t="inlineStr">
        <is>
          <t>Step 4
Widget Final Design</t>
        </is>
      </c>
      <c r="K7" s="3" t="inlineStr">
        <is>
          <t>Step 5
API documents</t>
        </is>
      </c>
      <c r="L7" s="3" t="inlineStr">
        <is>
          <t>Step 6
Desgin Sign Off</t>
        </is>
      </c>
      <c r="M7" s="3" t="inlineStr">
        <is>
          <t>% Complete</t>
        </is>
      </c>
      <c r="N7" s="3" t="inlineStr">
        <is>
          <t>Assigned To</t>
        </is>
      </c>
      <c r="O7" s="3" t="inlineStr">
        <is>
          <t>Target Date</t>
        </is>
      </c>
      <c r="P7" s="3" t="inlineStr">
        <is>
          <t>Notes / Blockers</t>
        </is>
      </c>
    </row>
    <row r="8" ht="19.5" customHeight="1" s="47">
      <c r="A8" s="4" t="n">
        <v>1</v>
      </c>
      <c r="B8" s="5" t="inlineStr">
        <is>
          <t>Budget Compared to Actual</t>
        </is>
      </c>
      <c r="C8" s="6" t="inlineStr">
        <is>
          <t>Needs light review</t>
        </is>
      </c>
      <c r="D8" s="6" t="inlineStr">
        <is>
          <t>Table + Graph</t>
        </is>
      </c>
      <c r="E8" s="7" t="inlineStr">
        <is>
          <t>Low</t>
        </is>
      </c>
      <c r="F8" s="6" t="n">
        <v>1</v>
      </c>
      <c r="G8" s="8" t="inlineStr">
        <is>
          <t>Complete</t>
        </is>
      </c>
      <c r="H8" s="8" t="inlineStr">
        <is>
          <t>Complete</t>
        </is>
      </c>
      <c r="I8" s="9" t="inlineStr">
        <is>
          <t>Complete</t>
        </is>
      </c>
      <c r="J8" s="9" t="inlineStr">
        <is>
          <t>Complete</t>
        </is>
      </c>
      <c r="K8" s="9" t="inlineStr">
        <is>
          <t>Complete</t>
        </is>
      </c>
      <c r="L8" s="9" t="inlineStr">
        <is>
          <t>Not Started</t>
        </is>
      </c>
      <c r="M8" s="10">
        <f>COUNTIF(G8:L8,"Complete")/6</f>
        <v/>
      </c>
      <c r="N8" s="11" t="n"/>
      <c r="O8" s="11" t="n"/>
      <c r="P8" s="12" t="inlineStr">
        <is>
          <t>Design close to done — pending your own check before marking Complete</t>
        </is>
      </c>
    </row>
    <row r="9" ht="19.5" customHeight="1" s="47">
      <c r="A9" s="13" t="n">
        <v>2</v>
      </c>
      <c r="B9" s="14" t="inlineStr">
        <is>
          <t>Pension Plans</t>
        </is>
      </c>
      <c r="C9" s="15" t="inlineStr">
        <is>
          <t>Ready to re-design</t>
        </is>
      </c>
      <c r="D9" s="15" t="inlineStr">
        <is>
          <t>Table + Graph</t>
        </is>
      </c>
      <c r="E9" s="7" t="inlineStr">
        <is>
          <t>Low</t>
        </is>
      </c>
      <c r="F9" s="15" t="n">
        <v>2</v>
      </c>
      <c r="G9" s="8" t="inlineStr">
        <is>
          <t>Complete</t>
        </is>
      </c>
      <c r="H9" s="8" t="inlineStr">
        <is>
          <t>Complete</t>
        </is>
      </c>
      <c r="I9" s="9" t="inlineStr">
        <is>
          <t>Complete</t>
        </is>
      </c>
      <c r="J9" s="9" t="inlineStr">
        <is>
          <t>Complete</t>
        </is>
      </c>
      <c r="K9" s="9" t="inlineStr">
        <is>
          <t>Complete</t>
        </is>
      </c>
      <c r="L9" s="9" t="inlineStr">
        <is>
          <t>Not Started</t>
        </is>
      </c>
      <c r="M9" s="16">
        <f>COUNTIF(G9:L9,"Complete")/6</f>
        <v/>
      </c>
      <c r="N9" s="17" t="n"/>
      <c r="O9" s="17" t="n"/>
      <c r="P9" s="18" t="n"/>
    </row>
    <row r="10" ht="19.5" customHeight="1" s="47">
      <c r="A10" s="4" t="n">
        <v>3</v>
      </c>
      <c r="B10" s="5" t="inlineStr">
        <is>
          <t>Payroll Distributions</t>
        </is>
      </c>
      <c r="C10" s="6" t="inlineStr">
        <is>
          <t>Needs light review</t>
        </is>
      </c>
      <c r="D10" s="6" t="inlineStr">
        <is>
          <t>Table + Graph</t>
        </is>
      </c>
      <c r="E10" s="7" t="inlineStr">
        <is>
          <t>Low</t>
        </is>
      </c>
      <c r="F10" s="6" t="n">
        <v>3</v>
      </c>
      <c r="G10" s="8" t="inlineStr">
        <is>
          <t>Complete</t>
        </is>
      </c>
      <c r="H10" s="8" t="inlineStr">
        <is>
          <t>Complete</t>
        </is>
      </c>
      <c r="I10" s="9" t="inlineStr">
        <is>
          <t>Complete</t>
        </is>
      </c>
      <c r="J10" s="9" t="inlineStr">
        <is>
          <t>Complete</t>
        </is>
      </c>
      <c r="K10" s="9" t="inlineStr">
        <is>
          <t>Complete</t>
        </is>
      </c>
      <c r="L10" s="9" t="inlineStr">
        <is>
          <t>Complete</t>
        </is>
      </c>
      <c r="M10" s="10">
        <f>COUNTIF(G10:L10,"Complete")/6</f>
        <v/>
      </c>
      <c r="N10" s="11" t="n"/>
      <c r="O10" s="11" t="n"/>
      <c r="P10" s="12" t="n"/>
    </row>
    <row r="11" ht="19.5" customHeight="1" s="47">
      <c r="A11" s="4" t="n">
        <v>4</v>
      </c>
      <c r="B11" s="5" t="inlineStr">
        <is>
          <t>Remittance Pledges</t>
        </is>
      </c>
      <c r="C11" s="6" t="inlineStr">
        <is>
          <t>Needs light review</t>
        </is>
      </c>
      <c r="D11" s="6" t="inlineStr">
        <is>
          <t>Table</t>
        </is>
      </c>
      <c r="E11" s="7" t="inlineStr">
        <is>
          <t>Low</t>
        </is>
      </c>
      <c r="F11" s="6" t="n">
        <v>4</v>
      </c>
      <c r="G11" s="8" t="inlineStr">
        <is>
          <t>Complete</t>
        </is>
      </c>
      <c r="H11" s="8" t="inlineStr">
        <is>
          <t>Complete</t>
        </is>
      </c>
      <c r="I11" s="9" t="inlineStr">
        <is>
          <t>Complete</t>
        </is>
      </c>
      <c r="J11" s="9" t="inlineStr">
        <is>
          <t>Complete</t>
        </is>
      </c>
      <c r="K11" s="9" t="inlineStr">
        <is>
          <t>Complete</t>
        </is>
      </c>
      <c r="L11" s="9" t="inlineStr">
        <is>
          <t>Not Started</t>
        </is>
      </c>
      <c r="M11" s="10">
        <f>COUNTIF(G11:L11,"Complete")/6</f>
        <v/>
      </c>
      <c r="N11" s="11" t="n"/>
      <c r="O11" s="11" t="n"/>
      <c r="P11" s="12" t="inlineStr">
        <is>
          <t>Date defaults to today — users often see no data until changing it</t>
        </is>
      </c>
    </row>
    <row r="12" ht="19.5" customHeight="1" s="47">
      <c r="A12" s="19" t="n">
        <v>5</v>
      </c>
      <c r="B12" s="20" t="inlineStr">
        <is>
          <t>Receivable Invoices Outstanding</t>
        </is>
      </c>
      <c r="C12" s="21" t="inlineStr">
        <is>
          <t>Needs significant review</t>
        </is>
      </c>
      <c r="D12" s="21" t="inlineStr">
        <is>
          <t>Table + Graph</t>
        </is>
      </c>
      <c r="E12" s="22" t="inlineStr">
        <is>
          <t>High</t>
        </is>
      </c>
      <c r="F12" s="21" t="n">
        <v>5</v>
      </c>
      <c r="G12" s="8" t="inlineStr">
        <is>
          <t>Complete</t>
        </is>
      </c>
      <c r="H12" s="8" t="inlineStr">
        <is>
          <t>Complete</t>
        </is>
      </c>
      <c r="I12" s="9" t="inlineStr">
        <is>
          <t>Complete</t>
        </is>
      </c>
      <c r="J12" s="9" t="inlineStr">
        <is>
          <t>Complete</t>
        </is>
      </c>
      <c r="K12" s="9" t="inlineStr">
        <is>
          <t>Complete</t>
        </is>
      </c>
      <c r="L12" s="9" t="inlineStr">
        <is>
          <t>Not Started</t>
        </is>
      </c>
      <c r="M12" s="23">
        <f>COUNTIF(G12:L12,"Complete")/6</f>
        <v/>
      </c>
      <c r="N12" s="24" t="n"/>
      <c r="O12" s="24" t="n"/>
      <c r="P12" s="25" t="inlineStr">
        <is>
          <t>Drill-down + 4 tabs (Details / Attachments / Notes / Payments) + 5 aging buckets</t>
        </is>
      </c>
    </row>
    <row r="13" ht="19.5" customHeight="1" s="47">
      <c r="A13" s="4" t="n">
        <v>6</v>
      </c>
      <c r="B13" s="5" t="inlineStr">
        <is>
          <t>Insurance Billing Plans</t>
        </is>
      </c>
      <c r="C13" s="6" t="inlineStr">
        <is>
          <t>Needs light review</t>
        </is>
      </c>
      <c r="D13" s="6" t="inlineStr">
        <is>
          <t>Table + Graph</t>
        </is>
      </c>
      <c r="E13" s="7" t="inlineStr">
        <is>
          <t>Low</t>
        </is>
      </c>
      <c r="F13" s="6" t="n">
        <v>6</v>
      </c>
      <c r="G13" s="8" t="inlineStr">
        <is>
          <t>Complete</t>
        </is>
      </c>
      <c r="H13" s="8" t="inlineStr">
        <is>
          <t>Complete</t>
        </is>
      </c>
      <c r="I13" s="9" t="inlineStr">
        <is>
          <t>Complete</t>
        </is>
      </c>
      <c r="J13" s="9" t="inlineStr">
        <is>
          <t>Complete</t>
        </is>
      </c>
      <c r="K13" s="9" t="inlineStr">
        <is>
          <t>Complete</t>
        </is>
      </c>
      <c r="L13" s="9" t="inlineStr">
        <is>
          <t>Not Started</t>
        </is>
      </c>
      <c r="M13" s="10">
        <f>COUNTIF(G13:L13,"Complete")/6</f>
        <v/>
      </c>
      <c r="N13" s="11" t="n"/>
      <c r="O13" s="11" t="n"/>
      <c r="P13" s="12" t="n"/>
    </row>
    <row r="14" ht="19.2" customHeight="1" s="47">
      <c r="A14" s="13" t="n">
        <v>7</v>
      </c>
      <c r="B14" s="14" t="inlineStr">
        <is>
          <t>Deposit Accounts</t>
        </is>
      </c>
      <c r="C14" s="15" t="inlineStr">
        <is>
          <t>Ready to re-design</t>
        </is>
      </c>
      <c r="D14" s="15" t="inlineStr">
        <is>
          <t>Table + Graph</t>
        </is>
      </c>
      <c r="E14" s="26" t="inlineStr">
        <is>
          <t>Medium</t>
        </is>
      </c>
      <c r="F14" s="15" t="n">
        <v>7</v>
      </c>
      <c r="G14" s="8" t="inlineStr">
        <is>
          <t>Complete</t>
        </is>
      </c>
      <c r="H14" s="8" t="inlineStr">
        <is>
          <t>Complete</t>
        </is>
      </c>
      <c r="I14" s="9" t="inlineStr">
        <is>
          <t>Complete</t>
        </is>
      </c>
      <c r="J14" s="9" t="inlineStr">
        <is>
          <t>Complete</t>
        </is>
      </c>
      <c r="K14" s="9" t="inlineStr">
        <is>
          <t>Complete</t>
        </is>
      </c>
      <c r="L14" s="9" t="inlineStr">
        <is>
          <t>Complete</t>
        </is>
      </c>
      <c r="M14" s="16">
        <f>COUNTIF(G14:L14,"Complete")/6</f>
        <v/>
      </c>
      <c r="N14" s="17" t="n"/>
      <c r="O14" s="17" t="n"/>
      <c r="P14" s="18" t="inlineStr">
        <is>
          <t>Filter affects table only — pie chart always shows all accounts</t>
        </is>
      </c>
    </row>
    <row r="15" ht="19.5" customHeight="1" s="47">
      <c r="A15" s="19" t="n">
        <v>8</v>
      </c>
      <c r="B15" s="20" t="inlineStr">
        <is>
          <t>My Status</t>
        </is>
      </c>
      <c r="C15" s="21" t="inlineStr">
        <is>
          <t>Needs significant review</t>
        </is>
      </c>
      <c r="D15" s="21" t="inlineStr">
        <is>
          <t>Table</t>
        </is>
      </c>
      <c r="E15" s="22" t="inlineStr">
        <is>
          <t>High</t>
        </is>
      </c>
      <c r="F15" s="21" t="n">
        <v>8</v>
      </c>
      <c r="G15" s="8" t="inlineStr">
        <is>
          <t>Complete</t>
        </is>
      </c>
      <c r="H15" s="8" t="inlineStr">
        <is>
          <t>Complete</t>
        </is>
      </c>
      <c r="I15" s="9" t="inlineStr">
        <is>
          <t>Not Started</t>
        </is>
      </c>
      <c r="J15" s="9" t="inlineStr">
        <is>
          <t>Not Started</t>
        </is>
      </c>
      <c r="K15" s="9" t="inlineStr">
        <is>
          <t>Not Started</t>
        </is>
      </c>
      <c r="L15" s="9" t="inlineStr">
        <is>
          <t>Not Started</t>
        </is>
      </c>
      <c r="M15" s="23">
        <f>COUNTIF(G15:L15,"Complete")/6</f>
        <v/>
      </c>
      <c r="N15" s="24" t="n"/>
      <c r="O15" s="24" t="n"/>
      <c r="P15" s="25" t="inlineStr">
        <is>
          <t>21 configurable queries — DB tables per query TBC</t>
        </is>
      </c>
    </row>
    <row r="16" ht="19.5" customHeight="1" s="47">
      <c r="A16" s="19" t="n">
        <v>9</v>
      </c>
      <c r="B16" s="20" t="inlineStr">
        <is>
          <t>Payroll Scheduled Time Off</t>
        </is>
      </c>
      <c r="C16" s="21" t="inlineStr">
        <is>
          <t>Needs significant review</t>
        </is>
      </c>
      <c r="D16" s="21" t="inlineStr">
        <is>
          <t>Table</t>
        </is>
      </c>
      <c r="E16" s="22" t="inlineStr">
        <is>
          <t>High</t>
        </is>
      </c>
      <c r="F16" s="21" t="n">
        <v>9</v>
      </c>
      <c r="G16" s="8" t="inlineStr">
        <is>
          <t>Complete</t>
        </is>
      </c>
      <c r="H16" s="8" t="inlineStr">
        <is>
          <t>Complete</t>
        </is>
      </c>
      <c r="I16" s="9" t="inlineStr">
        <is>
          <t>In Progress</t>
        </is>
      </c>
      <c r="J16" s="9" t="inlineStr">
        <is>
          <t>Not Started</t>
        </is>
      </c>
      <c r="K16" s="9" t="inlineStr">
        <is>
          <t>Not Started</t>
        </is>
      </c>
      <c r="L16" s="9" t="inlineStr">
        <is>
          <t>Not Started</t>
        </is>
      </c>
      <c r="M16" s="23">
        <f>COUNTIF(G16:L16,"Complete")/6</f>
        <v/>
      </c>
      <c r="N16" s="24" t="n"/>
      <c r="O16" s="24" t="n"/>
      <c r="P16" s="25" t="inlineStr">
        <is>
          <t>Only widget with inline user actions (approve / deny time-off requests)</t>
        </is>
      </c>
    </row>
    <row r="17" ht="19.5" customHeight="1" s="47">
      <c r="A17" s="13" t="n">
        <v>10</v>
      </c>
      <c r="B17" s="14" t="inlineStr">
        <is>
          <t>Loans With Balance Due</t>
        </is>
      </c>
      <c r="C17" s="15" t="inlineStr">
        <is>
          <t>Ready to re-design</t>
        </is>
      </c>
      <c r="D17" s="15" t="inlineStr">
        <is>
          <t>Table + Graph</t>
        </is>
      </c>
      <c r="E17" s="26" t="inlineStr">
        <is>
          <t>Medium</t>
        </is>
      </c>
      <c r="F17" s="15" t="n">
        <v>10</v>
      </c>
      <c r="G17" s="8" t="inlineStr">
        <is>
          <t>Complete</t>
        </is>
      </c>
      <c r="H17" s="8" t="inlineStr">
        <is>
          <t>Complete</t>
        </is>
      </c>
      <c r="I17" s="9" t="inlineStr">
        <is>
          <t>In Progress</t>
        </is>
      </c>
      <c r="J17" s="9" t="inlineStr">
        <is>
          <t>Not Started</t>
        </is>
      </c>
      <c r="K17" s="9" t="inlineStr">
        <is>
          <t>Not Started</t>
        </is>
      </c>
      <c r="L17" s="9" t="inlineStr">
        <is>
          <t>Not Started</t>
        </is>
      </c>
      <c r="M17" s="16">
        <f>COUNTIF(G17:L17,"Complete")/6</f>
        <v/>
      </c>
      <c r="N17" s="17" t="n"/>
      <c r="O17" s="17" t="n"/>
      <c r="P17" s="18" t="inlineStr">
        <is>
          <t>Filter affects table only; aging labels misleading ("Over 60" = 90+ days)</t>
        </is>
      </c>
    </row>
    <row r="18" ht="19.5" customHeight="1" s="47">
      <c r="A18" s="19" t="n">
        <v>11</v>
      </c>
      <c r="B18" s="20" t="inlineStr">
        <is>
          <t>Fixed Asset Values</t>
        </is>
      </c>
      <c r="C18" s="21" t="inlineStr">
        <is>
          <t>Needs significant review</t>
        </is>
      </c>
      <c r="D18" s="21" t="inlineStr">
        <is>
          <t>Table + Graph</t>
        </is>
      </c>
      <c r="E18" s="22" t="inlineStr">
        <is>
          <t>High</t>
        </is>
      </c>
      <c r="F18" s="21" t="n">
        <v>11</v>
      </c>
      <c r="G18" s="8" t="inlineStr">
        <is>
          <t>Complete</t>
        </is>
      </c>
      <c r="H18" s="8" t="inlineStr">
        <is>
          <t>Complete</t>
        </is>
      </c>
      <c r="I18" s="9" t="inlineStr">
        <is>
          <t>In Progress</t>
        </is>
      </c>
      <c r="J18" s="9" t="inlineStr">
        <is>
          <t>Not Started</t>
        </is>
      </c>
      <c r="K18" s="9" t="inlineStr">
        <is>
          <t>Not Started</t>
        </is>
      </c>
      <c r="L18" s="9" t="inlineStr">
        <is>
          <t>Not Started</t>
        </is>
      </c>
      <c r="M18" s="23">
        <f>COUNTIF(G18:L18,"Complete")/6</f>
        <v/>
      </c>
      <c r="N18" s="24" t="n"/>
      <c r="O18" s="24" t="n"/>
      <c r="P18" s="25" t="inlineStr">
        <is>
          <t>3 cascaded dropdowns; DB tables TBC</t>
        </is>
      </c>
    </row>
    <row r="19" ht="19.5" customHeight="1" s="47">
      <c r="A19" s="4" t="n">
        <v>12</v>
      </c>
      <c r="B19" s="5" t="inlineStr">
        <is>
          <t>None (Empty Slot)</t>
        </is>
      </c>
      <c r="C19" s="6" t="inlineStr">
        <is>
          <t>Needs light review</t>
        </is>
      </c>
      <c r="D19" s="6" t="inlineStr">
        <is>
          <t>-</t>
        </is>
      </c>
      <c r="E19" s="7" t="inlineStr">
        <is>
          <t>Low</t>
        </is>
      </c>
      <c r="F19" s="6" t="n">
        <v>17</v>
      </c>
      <c r="G19" s="8" t="inlineStr">
        <is>
          <t>Complete</t>
        </is>
      </c>
      <c r="H19" s="8" t="inlineStr">
        <is>
          <t>Complete</t>
        </is>
      </c>
      <c r="I19" s="9" t="inlineStr">
        <is>
          <t>Not Started</t>
        </is>
      </c>
      <c r="J19" s="9" t="inlineStr">
        <is>
          <t>Not Started</t>
        </is>
      </c>
      <c r="K19" s="9" t="inlineStr">
        <is>
          <t>N/A</t>
        </is>
      </c>
      <c r="L19" s="9" t="inlineStr">
        <is>
          <t>Not Started</t>
        </is>
      </c>
      <c r="M19" s="10">
        <f>COUNTIF(G19:L19,"Complete")/6</f>
        <v/>
      </c>
      <c r="N19" s="11" t="n"/>
      <c r="O19" s="11" t="n"/>
      <c r="P19" s="12" t="inlineStr">
        <is>
          <t>Decision needed: keep or remove in new design?</t>
        </is>
      </c>
    </row>
    <row r="20" ht="19.5" customHeight="1" s="47">
      <c r="A20" s="19" t="n">
        <v>13</v>
      </c>
      <c r="B20" s="20" t="inlineStr">
        <is>
          <t>Purchasing Management</t>
        </is>
      </c>
      <c r="C20" s="21" t="inlineStr">
        <is>
          <t>Needs significant review</t>
        </is>
      </c>
      <c r="D20" s="21" t="inlineStr">
        <is>
          <t>Table + Graph</t>
        </is>
      </c>
      <c r="E20" s="22" t="inlineStr">
        <is>
          <t>High</t>
        </is>
      </c>
      <c r="F20" s="21" t="n">
        <v>12</v>
      </c>
      <c r="G20" s="8" t="inlineStr">
        <is>
          <t>Complete</t>
        </is>
      </c>
      <c r="H20" s="8" t="inlineStr">
        <is>
          <t>Complete</t>
        </is>
      </c>
      <c r="I20" s="9" t="inlineStr">
        <is>
          <t>In Progress</t>
        </is>
      </c>
      <c r="J20" s="9" t="inlineStr">
        <is>
          <t>Not Started</t>
        </is>
      </c>
      <c r="K20" s="9" t="inlineStr">
        <is>
          <t>Not Started</t>
        </is>
      </c>
      <c r="L20" s="9" t="inlineStr">
        <is>
          <t>Not Started</t>
        </is>
      </c>
      <c r="M20" s="23">
        <f>COUNTIF(G20:L20,"Complete")/6</f>
        <v/>
      </c>
      <c r="N20" s="24" t="n"/>
      <c r="O20" s="24" t="n"/>
      <c r="P20" s="25" t="inlineStr">
        <is>
          <t>Edit icon navigates away to full purchase order; DB tables TBC</t>
        </is>
      </c>
    </row>
    <row r="21" ht="19.5" customHeight="1" s="47">
      <c r="A21" s="4" t="n">
        <v>14</v>
      </c>
      <c r="B21" s="5" t="inlineStr">
        <is>
          <t>Main Content Tasks</t>
        </is>
      </c>
      <c r="C21" s="6" t="inlineStr">
        <is>
          <t>Needs light review</t>
        </is>
      </c>
      <c r="D21" s="6" t="inlineStr">
        <is>
          <t>Table</t>
        </is>
      </c>
      <c r="E21" s="7" t="inlineStr">
        <is>
          <t>Low</t>
        </is>
      </c>
      <c r="F21" s="6" t="n">
        <v>13</v>
      </c>
      <c r="G21" s="8" t="inlineStr">
        <is>
          <t>Complete</t>
        </is>
      </c>
      <c r="H21" s="8" t="inlineStr">
        <is>
          <t>Complete</t>
        </is>
      </c>
      <c r="I21" s="9" t="inlineStr">
        <is>
          <t>Complete</t>
        </is>
      </c>
      <c r="J21" s="9" t="inlineStr">
        <is>
          <t>Not Started</t>
        </is>
      </c>
      <c r="K21" s="9" t="inlineStr">
        <is>
          <t>Not Started</t>
        </is>
      </c>
      <c r="L21" s="9" t="inlineStr">
        <is>
          <t>Not Started</t>
        </is>
      </c>
      <c r="M21" s="10">
        <f>COUNTIF(G21:L21,"Complete")/6</f>
        <v/>
      </c>
      <c r="N21" s="11" t="n"/>
      <c r="O21" s="11" t="n"/>
      <c r="P21" s="12" t="inlineStr">
        <is>
          <t>System-controlled tiles; up to 8 navigation links; no user config</t>
        </is>
      </c>
    </row>
    <row r="22" ht="19.5" customHeight="1" s="47">
      <c r="A22" s="13" t="n">
        <v>15</v>
      </c>
      <c r="B22" s="14" t="inlineStr">
        <is>
          <t>Bank Balances</t>
        </is>
      </c>
      <c r="C22" s="15" t="inlineStr">
        <is>
          <t>Ready to re-design</t>
        </is>
      </c>
      <c r="D22" s="15" t="inlineStr">
        <is>
          <t>Table + Graph</t>
        </is>
      </c>
      <c r="E22" s="26" t="inlineStr">
        <is>
          <t>Medium</t>
        </is>
      </c>
      <c r="F22" s="15" t="n">
        <v>14</v>
      </c>
      <c r="G22" s="8" t="inlineStr">
        <is>
          <t>Complete</t>
        </is>
      </c>
      <c r="H22" s="8" t="inlineStr">
        <is>
          <t>Complete</t>
        </is>
      </c>
      <c r="I22" s="9" t="inlineStr">
        <is>
          <t>In Progress</t>
        </is>
      </c>
      <c r="J22" s="9" t="inlineStr">
        <is>
          <t>Not Started</t>
        </is>
      </c>
      <c r="K22" s="9" t="inlineStr">
        <is>
          <t>Not Started</t>
        </is>
      </c>
      <c r="L22" s="9" t="inlineStr">
        <is>
          <t>Not Started</t>
        </is>
      </c>
      <c r="M22" s="16">
        <f>COUNTIF(G22:L22,"Complete")/6</f>
        <v/>
      </c>
      <c r="N22" s="17" t="n"/>
      <c r="O22" s="17" t="n"/>
      <c r="P22" s="18" t="inlineStr">
        <is>
          <t>Dropdown switches entire widget layout and chart type</t>
        </is>
      </c>
    </row>
    <row r="23" ht="19.5" customHeight="1" s="47">
      <c r="A23" s="13" t="n">
        <v>16</v>
      </c>
      <c r="B23" s="14" t="inlineStr">
        <is>
          <t>Accounts Payable By Due Date</t>
        </is>
      </c>
      <c r="C23" s="15" t="inlineStr">
        <is>
          <t>Ready to re-design</t>
        </is>
      </c>
      <c r="D23" s="15" t="inlineStr">
        <is>
          <t>Table + Graph</t>
        </is>
      </c>
      <c r="E23" s="26" t="inlineStr">
        <is>
          <t>Medium</t>
        </is>
      </c>
      <c r="F23" s="15" t="n">
        <v>15</v>
      </c>
      <c r="G23" s="8" t="inlineStr">
        <is>
          <t>Complete</t>
        </is>
      </c>
      <c r="H23" s="8" t="inlineStr">
        <is>
          <t>Complete</t>
        </is>
      </c>
      <c r="I23" s="9" t="inlineStr">
        <is>
          <t>In Progress</t>
        </is>
      </c>
      <c r="J23" s="9" t="inlineStr">
        <is>
          <t>Not Started</t>
        </is>
      </c>
      <c r="K23" s="9" t="inlineStr">
        <is>
          <t>Not Started</t>
        </is>
      </c>
      <c r="L23" s="9" t="inlineStr">
        <is>
          <t>Not Started</t>
        </is>
      </c>
      <c r="M23" s="16">
        <f>COUNTIF(G23:L23,"Complete")/6</f>
        <v/>
      </c>
      <c r="N23" s="17" t="n"/>
      <c r="O23" s="17" t="n"/>
      <c r="P23" s="18" t="inlineStr">
        <is>
          <t>Pie labels show amounts not dates — UX issue flagged for design</t>
        </is>
      </c>
    </row>
    <row r="24" ht="19.5" customHeight="1" s="47">
      <c r="A24" s="4" t="n">
        <v>17</v>
      </c>
      <c r="B24" s="5" t="inlineStr">
        <is>
          <t>Gifts Pledges</t>
        </is>
      </c>
      <c r="C24" s="6" t="inlineStr">
        <is>
          <t>Needs light review</t>
        </is>
      </c>
      <c r="D24" s="6" t="inlineStr">
        <is>
          <t>Table</t>
        </is>
      </c>
      <c r="E24" s="7" t="inlineStr">
        <is>
          <t>Low</t>
        </is>
      </c>
      <c r="F24" s="6" t="n">
        <v>16</v>
      </c>
      <c r="G24" s="8" t="inlineStr">
        <is>
          <t>Complete</t>
        </is>
      </c>
      <c r="H24" s="8" t="inlineStr">
        <is>
          <t>Complete</t>
        </is>
      </c>
      <c r="I24" s="9" t="inlineStr">
        <is>
          <t>In Progress</t>
        </is>
      </c>
      <c r="J24" s="9" t="inlineStr">
        <is>
          <t>Not Started</t>
        </is>
      </c>
      <c r="K24" s="9" t="inlineStr">
        <is>
          <t>Not Started</t>
        </is>
      </c>
      <c r="L24" s="9" t="inlineStr">
        <is>
          <t>Not Started</t>
        </is>
      </c>
      <c r="M24" s="10">
        <f>COUNTIF(G24:L24,"Complete")/6</f>
        <v/>
      </c>
      <c r="N24" s="11" t="n"/>
      <c r="O24" s="11" t="n"/>
      <c r="P24" s="12" t="inlineStr">
        <is>
          <t>Date filter persists on refresh (unlike Remittance Pledges which resets)</t>
        </is>
      </c>
    </row>
    <row r="25"/>
    <row r="26"/>
    <row r="27"/>
    <row r="28"/>
    <row r="29"/>
    <row r="30"/>
  </sheetData>
  <mergeCells count="3">
    <mergeCell ref="A6:P6"/>
    <mergeCell ref="A1:P1"/>
    <mergeCell ref="A2:P2"/>
  </mergeCells>
  <conditionalFormatting sqref="G8:L24">
    <cfRule type="expression" priority="2" dxfId="2">
      <formula>G8="Complete"</formula>
    </cfRule>
    <cfRule type="expression" priority="3" dxfId="1">
      <formula>G8="In Progress"</formula>
    </cfRule>
    <cfRule type="expression" priority="4" dxfId="0">
      <formula>G8="Not Started"</formula>
    </cfRule>
  </conditionalFormatting>
  <conditionalFormatting sqref="M8:M24">
    <cfRule type="dataBar" priority="5">
      <dataBar>
        <cfvo type="min"/>
        <cfvo type="max"/>
        <color rgb="FF638EC6"/>
      </dataBar>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24"/>
  <sheetViews>
    <sheetView zoomScale="55" zoomScaleNormal="55" workbookViewId="0">
      <pane xSplit="4" ySplit="4" topLeftCell="E5" activePane="bottomRight" state="frozen"/>
      <selection pane="topRight" activeCell="E1" sqref="E1"/>
      <selection pane="bottomLeft" activeCell="A5" sqref="A5"/>
      <selection pane="bottomRight" activeCell="L24" sqref="A1:L24"/>
    </sheetView>
  </sheetViews>
  <sheetFormatPr baseColWidth="8" defaultColWidth="8.6640625" defaultRowHeight="14.4"/>
  <cols>
    <col width="4" customWidth="1" style="47" min="1" max="1"/>
    <col width="24" customWidth="1" style="47" min="2" max="2"/>
    <col width="20" customWidth="1" style="47" min="3" max="3"/>
    <col width="22" customWidth="1" style="47" min="4" max="4"/>
    <col width="40" customWidth="1" style="47" min="5" max="5"/>
    <col width="28" customWidth="1" style="47" min="6" max="6"/>
    <col width="42" customWidth="1" style="47" min="7" max="7"/>
    <col width="38" customWidth="1" style="47" min="8" max="8"/>
    <col width="48" customWidth="1" style="47" min="9" max="10"/>
    <col width="44" customWidth="1" style="47" min="11" max="11"/>
  </cols>
  <sheetData>
    <row r="1" ht="30" customHeight="1" s="47">
      <c r="A1" s="48" t="inlineStr">
        <is>
          <t>Purpose Documents — Widget Investigation Summary</t>
        </is>
      </c>
    </row>
    <row r="2" ht="18" customHeight="1" s="47">
      <c r="A2" s="46" t="inlineStr">
        <is>
          <t>Step 1 of 6 — Purpose Documents Complete  |  Ministry Brands, Shelby Financials  |  17 Widgets Investigated</t>
        </is>
      </c>
    </row>
    <row r="3" ht="6" customHeight="1" s="47"/>
    <row r="4" ht="27.75" customHeight="1" s="47">
      <c r="A4" s="3" t="inlineStr">
        <is>
          <t>#</t>
        </is>
      </c>
      <c r="B4" s="3" t="inlineStr">
        <is>
          <t>Widget Name</t>
        </is>
      </c>
      <c r="C4" s="3" t="inlineStr">
        <is>
          <t>Module</t>
        </is>
      </c>
      <c r="D4" s="3" t="inlineStr">
        <is>
          <t>Review Status</t>
        </is>
      </c>
      <c r="E4" s="3" t="inlineStr">
        <is>
          <t>Purpose</t>
        </is>
      </c>
      <c r="F4" s="3" t="inlineStr">
        <is>
          <t>Database Tables</t>
        </is>
      </c>
      <c r="G4" s="3" t="inlineStr">
        <is>
          <t>What It Shows</t>
        </is>
      </c>
      <c r="H4" s="3" t="inlineStr">
        <is>
          <t>How It's Displayed</t>
        </is>
      </c>
      <c r="I4" s="3" t="inlineStr">
        <is>
          <t>Filters &amp; Controls</t>
        </is>
      </c>
      <c r="J4" s="3" t="inlineStr">
        <is>
          <t>Interactions &amp; Connections</t>
        </is>
      </c>
      <c r="K4" s="3" t="inlineStr">
        <is>
          <t>Open Questions / Known Issues</t>
        </is>
      </c>
    </row>
    <row r="5" ht="120" customHeight="1" s="47">
      <c r="A5" s="27" t="n">
        <v>1</v>
      </c>
      <c r="B5" s="28" t="inlineStr">
        <is>
          <t>Budget Compared to Actual</t>
        </is>
      </c>
      <c r="C5" s="29" t="inlineStr">
        <is>
          <t>General Ledger</t>
        </is>
      </c>
      <c r="D5" s="30" t="inlineStr">
        <is>
          <t>Needs light review</t>
        </is>
      </c>
      <c r="E5" s="29" t="inlineStr">
        <is>
          <t>Shows how actual income/spending compares to budget across each period of the fiscal year (July–June). Helps users spot where they are ahead of or behind their financial plan.</t>
        </is>
      </c>
      <c r="F5" s="29" t="inlineStr">
        <is>
          <t>GLSummary
GLBudgetDetail
SSUserTenantPreferenceRepository</t>
        </is>
      </c>
      <c r="G5" s="29" t="inlineStr">
        <is>
          <t>Two charts side by side covering the full fiscal year:
• Period bars — actual vs budget per month
• YTD line — running year-to-date actual vs budget
Can be set to income accounts, expense accounts, or a custom report grouping. Setting saved per user. Consolidated orgs roll up child accounts automatically.</t>
        </is>
      </c>
      <c r="H5" s="29" t="inlineStr">
        <is>
          <t>Left: Bar chart — 2 bars per month (actual orange, budget purple)
Right: Line chart — 2 YTD lines with markers (actual orange, budget yellow)
Vertical scales differ — right is cumulative so much larger</t>
        </is>
      </c>
      <c r="I5" s="29" t="inlineStr">
        <is>
          <t>• Account selection (Income / Expense / Custom grouping) — saved per user
• Refresh
• Export to Excel (period + YTD figures for both actual and budget)
• Collapse widget</t>
        </is>
      </c>
      <c r="J5" s="29" t="inlineStr">
        <is>
          <t>• Account selection triggers automatic data refresh of both charts
• Chart type selector (widget dropdown) can replace this widget entirely
• No drill-down into individual transactions</t>
        </is>
      </c>
      <c r="K5" s="29" t="inlineStr">
        <is>
          <t>• Does this respond to global dashboard filters?
• Is July–June FY fixed or configurable per organisation?
• What API endpoint is called on Refresh?</t>
        </is>
      </c>
    </row>
    <row r="6" ht="120" customHeight="1" s="47">
      <c r="A6" s="31" t="n">
        <v>2</v>
      </c>
      <c r="B6" s="32" t="inlineStr">
        <is>
          <t>Pension Plans</t>
        </is>
      </c>
      <c r="C6" s="33" t="inlineStr">
        <is>
          <t>Pension Billing</t>
        </is>
      </c>
      <c r="D6" s="34" t="inlineStr">
        <is>
          <t>Ready to re-design</t>
        </is>
      </c>
      <c r="E6" s="33" t="inlineStr">
        <is>
          <t>Overview of annual pension plan contribution amounts by plan type, filterable by church district. Allows drill-down to individual appointee detail.</t>
        </is>
      </c>
      <c r="F6" s="33" t="inlineStr">
        <is>
          <t>PBAppointmentPlan
PBControlTable</t>
        </is>
      </c>
      <c r="G6" s="33" t="inlineStr">
        <is>
          <t>Annual contribution split across active plan types. Active = started, not ended. Amounts are current-year annual rates — not cumulative lifetime totals. Totals row at bottom.</t>
        </is>
      </c>
      <c r="H6" s="33" t="inlineStr">
        <is>
          <t>Left: Table — plan name + annual amount + highlighted total row
Right: Pie chart — one segment per plan type, labelled with plan name
Both table and chart always show the same data</t>
        </is>
      </c>
      <c r="I6" s="33" t="inlineStr">
        <is>
          <t>• District dropdown (defaults to All Districts) — updates both table and chart
• Refresh
• Export to Excel — NOTE: exports appointee-level detail, not the plan summary shown on screen</t>
        </is>
      </c>
      <c r="J6" s="33" t="inlineStr">
        <is>
          <t>• Changing district filter updates both table and chart simultaneously
• Clicking a plan row opens detail panel (Panel 1): individual appointees — name, organisation, annual amount
• District filter carries through into detail panel</t>
        </is>
      </c>
      <c r="K6" s="33" t="inlineStr">
        <is>
          <t>• Does this respond to global dashboard filters?
• Is the chart type (pie) fixed or can it be changed by the user?
• What API is called on Refresh?</t>
        </is>
      </c>
    </row>
    <row r="7" ht="120" customHeight="1" s="47">
      <c r="A7" s="27" t="n">
        <v>3</v>
      </c>
      <c r="B7" s="28" t="inlineStr">
        <is>
          <t>Payroll Distributions</t>
        </is>
      </c>
      <c r="C7" s="29" t="inlineStr">
        <is>
          <t>Payroll</t>
        </is>
      </c>
      <c r="D7" s="30" t="inlineStr">
        <is>
          <t>Needs light review</t>
        </is>
      </c>
      <c r="E7" s="29" t="inlineStr">
        <is>
          <t>Shows payroll spend broken down by compensation category across a user-selected date range. Helps understand how total payroll is distributed across pay types.</t>
        </is>
      </c>
      <c r="F7" s="29" t="inlineStr">
        <is>
          <t>PRHistory
PRHistoryCompensation</t>
        </is>
      </c>
      <c r="G7" s="29" t="inlineStr">
        <is>
          <t>Total payroll split by compensation category for the selected period. Voided checks and internal check types are excluded — only real, valid payroll payments. No caching — always queries live data.</t>
        </is>
      </c>
      <c r="H7" s="29" t="inlineStr">
        <is>
          <t>Left: Table — compensation category + total amount + totals row (count + overall sum)
Right: Pie chart titled 'By Distributions' — one segment per category
Hover over pie segment shows exact amount</t>
        </is>
      </c>
      <c r="I7" s="29" t="inlineStr">
        <is>
          <t>• Beginning date — date picker (defaults to 1 Jan current year)
• Ending date — date picker (defaults to today)
• Refresh — reruns query with current date range</t>
        </is>
      </c>
      <c r="J7" s="29" t="inlineStr">
        <is>
          <t>• No drill-down — clicking a row or segment does not open further detail
• Hover over pie segment reveals the amount for that category
• No navigation away from dashboard</t>
        </is>
      </c>
      <c r="K7" s="39" t="inlineStr">
        <is>
          <t>• Does this respond to global dashboard filters?
• Is the date range saved as a preference or always resets to default on page load?
• Can the chart type switch?
🟡 CONFIRM: Is date range saved as preference or always resets?</t>
        </is>
      </c>
    </row>
    <row r="8" ht="120" customHeight="1" s="47">
      <c r="A8" s="27" t="n">
        <v>4</v>
      </c>
      <c r="B8" s="28" t="inlineStr">
        <is>
          <t>Remittance Pledges</t>
        </is>
      </c>
      <c r="C8" s="29" t="inlineStr">
        <is>
          <t>Remittance</t>
        </is>
      </c>
      <c r="D8" s="30" t="inlineStr">
        <is>
          <t>Needs light review</t>
        </is>
      </c>
      <c r="E8" s="29" t="inlineStr">
        <is>
          <t>Shows remittance pledge progress by activity type — what was pledged, expected by a date, paid, outstanding, and % paid.</t>
        </is>
      </c>
      <c r="F8" s="29" t="inlineStr">
        <is>
          <t>RMActivityRepository</t>
        </is>
      </c>
      <c r="G8" s="29" t="inlineStr">
        <is>
          <t>Table per activity type: Annual pledge, YTD Expected, YTD Paid, Outstanding, % Paid. 'Percent of year completed' calculated on-the-fly from days elapsed (not from DB). Totals row at bottom.
⚠️ Defaults to today — users typically see no data without changing the date first.</t>
        </is>
      </c>
      <c r="H8" s="29" t="inlineStr">
        <is>
          <t>Table only — no chart.
Rows ordered by sequence number.
Totals row at bottom summarising all columns.</t>
        </is>
      </c>
      <c r="I8" s="29" t="inlineStr">
        <is>
          <t>• Date Receipts Thru — date picker
  - Defaults to TODAY
  - ⚠️ PERSISTS on refresh — does not reset
  - % of year completed shown alongside
• Refresh</t>
        </is>
      </c>
      <c r="J8" s="29" t="inlineStr">
        <is>
          <t>• No drill-down, no interactive elements
• Table is entirely view-only
• No navigation away from dashboard</t>
        </is>
      </c>
      <c r="K8" s="39" t="inlineStr">
        <is>
          <t>• Does this respond to global dashboard filters?
• Defaulting to today means users see no data initially — is this intentional or a UX issue to address?
• Is % of year based on calendar year (Jan–Dec) or fiscal year?
🟡 UX ISSUE: Date defaults to today so users see no data — is this correct?</t>
        </is>
      </c>
    </row>
    <row r="9" ht="120" customHeight="1" s="47">
      <c r="A9" s="35" t="n">
        <v>5</v>
      </c>
      <c r="B9" s="36" t="inlineStr">
        <is>
          <t>Receivable Invoices Outstanding</t>
        </is>
      </c>
      <c r="C9" s="37" t="inlineStr">
        <is>
          <t>Accounts Receivable</t>
        </is>
      </c>
      <c r="D9" s="38" t="inlineStr">
        <is>
          <t>Needs significant review</t>
        </is>
      </c>
      <c r="E9" s="37" t="inlineStr">
        <is>
          <t>Shows outstanding unpaid invoices grouped by how overdue they are (aging buckets). Helps staff prioritise collection by seeing which amounts have been outstanding longest.</t>
        </is>
      </c>
      <c r="F9" s="37" t="inlineStr">
        <is>
          <t>ARInvoice
ARInvoiceDetail
APVendor</t>
        </is>
      </c>
      <c r="G9" s="37" t="inlineStr">
        <is>
          <t>Five aging buckets: Current (0–30 days), 31–60, 61–90, 91–120, 121+ days overdue. Only posted invoices with remaining balance shown. Voided excluded. Filter selections preserved on refresh.</t>
        </is>
      </c>
      <c r="H9" s="37" t="inlineStr">
        <is>
          <t>Left: Table — one row per aging bucket + highlighted totals row
Right: Pie chart titled 'Invoice Aging' — one segment per bucket
Hover over segment shows outstanding amount</t>
        </is>
      </c>
      <c r="I9" s="37" t="inlineStr">
        <is>
          <t>• Revenue Center dropdown (defaults to All Revenue Centers)
• Source dropdown (defaults to All Sources)
• ✅ BOTH affect table AND pie chart simultaneously
• Filter selections preserved on page refresh
• Refresh (clears cached data)</t>
        </is>
      </c>
      <c r="J9" s="37" t="inlineStr">
        <is>
          <t>• Hover over pie segment shows amount for that bucket
• Clicking a bucket row where value &gt; 0 opens detail panel:
  - Columns: Customer, Bill To, Due Date, Invoice#, Days Past Due, Outstanding
  - Each row expandable with 4 tabs: Details | Attachments | Note | Payments
  - Export to Excel + Close available in panel header
• ⚠️ Zero-value rows are NOT clickable
• Drill-down confirmed working</t>
        </is>
      </c>
      <c r="K9" s="37" t="inlineStr">
        <is>
          <t>• Does this respond to global dashboard filters?
• Are Revenue Center / Source filter options dynamically populated or a fixed list?</t>
        </is>
      </c>
    </row>
    <row r="10" ht="120" customHeight="1" s="47">
      <c r="A10" s="27" t="n">
        <v>6</v>
      </c>
      <c r="B10" s="28" t="inlineStr">
        <is>
          <t>Insurance Billing Plans</t>
        </is>
      </c>
      <c r="C10" s="29" t="inlineStr">
        <is>
          <t>Insurance Billing</t>
        </is>
      </c>
      <c r="D10" s="30" t="inlineStr">
        <is>
          <t>Needs light review</t>
        </is>
      </c>
      <c r="E10" s="29" t="inlineStr">
        <is>
          <t>Shows enrollment counts for each insurance plan, filterable by insurance type. Gives a quick overview of plan uptake across the organisation.</t>
        </is>
      </c>
      <c r="F10" s="29" t="inlineStr">
        <is>
          <t>IBPlan
IBType
IBEmployeePlans
IBEmployeeDependents</t>
        </is>
      </c>
      <c r="G10" s="29" t="inlineStr">
        <is>
          <t>Enrollment count per plan. ⚠️ Count includes both employees AND their dependents — not employees only. Plans with zero enrollments appear in table but NOT in pie chart.</t>
        </is>
      </c>
      <c r="H10" s="29" t="inlineStr">
        <is>
          <t>Left: Table — plan name + enrollment count + highlighted total row
Right: Pie chart — one segment per plan with at least 1 enrollment
Hover over segment shows enrollment count</t>
        </is>
      </c>
      <c r="I10" s="29" t="inlineStr">
        <is>
          <t>• Type dropdown (defaults to All Types)
  Examples: Dental, Medical, Property, Vision
  Updates BOTH table and chart
• Refresh</t>
        </is>
      </c>
      <c r="J10" s="29" t="inlineStr">
        <is>
          <t>• Changing type filter updates table and chart simultaneously
• Hover over pie segment shows enrollment count
• No drill-down — clicking a row or segment does not open further detail</t>
        </is>
      </c>
      <c r="K10" s="29" t="inlineStr">
        <is>
          <t>• Does this respond to global dashboard filters?
• Is the enrollment count live or a point-in-time snapshot?</t>
        </is>
      </c>
    </row>
    <row r="11" ht="120" customHeight="1" s="47">
      <c r="A11" s="31" t="n">
        <v>7</v>
      </c>
      <c r="B11" s="32" t="inlineStr">
        <is>
          <t>Deposit Accounts</t>
        </is>
      </c>
      <c r="C11" s="33" t="inlineStr">
        <is>
          <t>Deposits On Hand</t>
        </is>
      </c>
      <c r="D11" s="34" t="inlineStr">
        <is>
          <t>Ready to re-design</t>
        </is>
      </c>
      <c r="E11" s="33" t="inlineStr">
        <is>
          <t>Shows current ending balances across all active deposit accounts, grouped by account type. Snapshot of how much is held as of today.</t>
        </is>
      </c>
      <c r="F11" s="33" t="inlineStr">
        <is>
          <t>DHAccount
DHTypeRepository</t>
        </is>
      </c>
      <c r="G11" s="33" t="inlineStr">
        <is>
          <t>Individual account balances in table. Pie chart groups by account type for higher-level view. Accounts ordered by name then inception date.
⚠️ NAMING: Widget title = 'Deposit Accounts' but module/breadcrumb = 'Deposits On Hand'</t>
        </is>
      </c>
      <c r="H11" s="33" t="inlineStr">
        <is>
          <t>Left: Table — account name, inception date, account number, ending balance + totals row (count + combined balance)
Right: Pie chart titled 'By Account Type'
Hover over segment shows balance for that type</t>
        </is>
      </c>
      <c r="I11" s="33" t="inlineStr">
        <is>
          <t>• Account type dropdown (defaults to Show All)
  ⚠️ Affects TABLE ONLY — pie chart ALWAYS shows all account types regardless
• Refresh (clears cached data)</t>
        </is>
      </c>
      <c r="J11" s="33" t="inlineStr">
        <is>
          <t>• Hover over pie segment reveals balance for that type
• No drill-down
• ⚠️ Filter/chart split is a known UX issue — raise in Feedback step</t>
        </is>
      </c>
      <c r="K11" s="39" t="inlineStr">
        <is>
          <t>• Filter affects table but not chart — is this intentional or a design bug? Worth raising in Feedback.
• Naming inconsistency between widget title and module name — which should the redesign use?
🟡 DECISION: Filter affects table only — not chart. Intentional or bug? Raise with product.</t>
        </is>
      </c>
    </row>
    <row r="12" ht="120" customHeight="1" s="47">
      <c r="A12" s="35" t="n">
        <v>8</v>
      </c>
      <c r="B12" s="36" t="inlineStr">
        <is>
          <t>My Status</t>
        </is>
      </c>
      <c r="C12" s="37" t="inlineStr">
        <is>
          <t>Multi-module</t>
        </is>
      </c>
      <c r="D12" s="38" t="inlineStr">
        <is>
          <t>Needs significant review</t>
        </is>
      </c>
      <c r="E12" s="37" t="inlineStr">
        <is>
          <t>Personalised summary panel showing the user a count of records needing attention across different areas of the system. Each user configures which of 21 queries they want to track.</t>
        </is>
      </c>
      <c r="F12" s="40" t="inlineStr">
        <is>
          <t>UserPreferences.MyStatus
(+ varies per query —
exact tables TBC per query)
⚠️ Partial — UserPreferences.MyStatus known, but exact tables for each of the 21 queries still TBC. Developer input needed.</t>
        </is>
      </c>
      <c r="G12" s="37" t="inlineStr">
        <is>
          <t>Two-column table: query name + record count. 21 selectable queries configurable per user. Rows with count &gt; 0 need attention. Rows with count = 0 not clickable. When no queries selected shows 'No records to display'.</t>
        </is>
      </c>
      <c r="H12" s="37" t="inlineStr">
        <is>
          <t>Table only — two columns: Query name | Record count
No chart. No date filter.</t>
        </is>
      </c>
      <c r="I12" s="37" t="inlineStr">
        <is>
          <t>• Select button (top right) — opens config panel
  Left: available queries | Right: selected queries
  Selections saved per user across sessions
• No date or type filter — each query has its own built-in logic
21 available queries:
1. Purchasing Requests Needing My Approval Next
2. Employees Needing Review Now
3. Active Employee Time Clock Info
4. Employee Birthdays Next Month
5. Purchasing Requests Needing My Approval
6. Unpaid Accounts Payable by Due Date
7. Employees Needing Review Within Next Month
8. My Unposted Bank Transactions
9. Employee Overtime Hours Last Payroll
10. My Unposted Journal Entries
11. My Unposted Credit Card Transactions
12. AP Recurring Dollars By Due Date
13. Employee Birthdays Next Week
14. My Unposted AP Transactions
15. Employee Birthdays This Month
16. My Unposted Payroll Manual Checks
17. General Ledger Accounts Added Within Last 30 Days
18. Scheduled Time Off
19. Check Register Summary
20. Unposted Journal Entries
21. Check Register Detail</t>
        </is>
      </c>
      <c r="J12" s="37" t="inlineStr">
        <is>
          <t>Clicking a row does ONE of two things:
• Opens detail panel within widget (e.g. Check Register Summary)
  → Shows full record list, auto-generated columns, Export + Close
• Navigates AWAY to a dedicated page in the system
  (e.g. Unposted Journal Entries → GL / Unposted Journals page with its own filters)
⚠️ Zero-count rows are NOT clickable</t>
        </is>
      </c>
      <c r="K12" s="41" t="inlineStr">
        <is>
          <t>• Which DB tables does each of the 21 queries touch? Needs full investigation per query.
• For queries that navigate away, can users return directly to the dashboard or must they navigate back manually?
🔴 NEEDS DEV: Which tables do each of the 21 queries touch?</t>
        </is>
      </c>
    </row>
    <row r="13" ht="120" customHeight="1" s="47">
      <c r="A13" s="35" t="n">
        <v>9</v>
      </c>
      <c r="B13" s="36" t="inlineStr">
        <is>
          <t>Payroll Scheduled Time Off</t>
        </is>
      </c>
      <c r="C13" s="37" t="inlineStr">
        <is>
          <t>Payroll</t>
        </is>
      </c>
      <c r="D13" s="38" t="inlineStr">
        <is>
          <t>Needs significant review</t>
        </is>
      </c>
      <c r="E13" s="37" t="inlineStr">
        <is>
          <t>Gives supervisors a view of scheduled time-off requests across their departments. Supervisors can approve or reject requests directly from this widget without going elsewhere.</t>
        </is>
      </c>
      <c r="F13" s="40" t="inlineStr">
        <is>
          <t>PREmployeeTimeOffApprovals
PayrollScheduledTimeOffFilters
(time-off records — exact table TBC)
⚠️ Partial — PREmployeeTimeOffApprovals and PayrollScheduledTimeOffFilters known, but the individual time-off records table is TBC. Developer input needed.</t>
        </is>
      </c>
      <c r="G13" s="37" t="inlineStr">
        <is>
          <t>3-level expandable list: Department → Employee → Daily detail. Shows pending and approved requests. Supervisors see only their own authorised departments.</t>
        </is>
      </c>
      <c r="H13" s="37" t="inlineStr">
        <is>
          <t>Table only — 3 expandable levels:
• Level 1: Department heading
• Level 2: Employee name + bulk approval checkbox
• Level 3: Date, day, hours by type (Vacation / Sick / Personal / Misc.), approval status ('Pending' or 'Approved by: [name] [date]')
Hour column labels can be renamed per org; some may be hidden if unused.</t>
        </is>
      </c>
      <c r="I13" s="37" t="inlineStr">
        <is>
          <t>• Calendar Year dropdown — only years with time-off data (not fixed sequential list)
• View dropdown: Show All / Show Pending / Show Approved
• Both filter selections saved per user across sessions
• Refresh</t>
        </is>
      </c>
      <c r="J13" s="37" t="inlineStr">
        <is>
          <t>⚡ THE ONLY WIDGET with inline user actions:
• Checkbox at employee level → bulk approves ALL records for that employee
• Checkbox at daily level → approves that individual record
• Unchecking reverses the approval
• No navigation away from dashboard observed</t>
        </is>
      </c>
      <c r="K13" s="41" t="inlineStr">
        <is>
          <t>• What is the exact DB table holding the individual time-off records?
🔴 NEEDS DEV: Confirm exact time-off records table name.</t>
        </is>
      </c>
    </row>
    <row r="14" ht="120" customHeight="1" s="47">
      <c r="A14" s="31" t="n">
        <v>10</v>
      </c>
      <c r="B14" s="32" t="inlineStr">
        <is>
          <t>Loans With Balance Due</t>
        </is>
      </c>
      <c r="C14" s="33" t="inlineStr">
        <is>
          <t>Loan Processing</t>
        </is>
      </c>
      <c r="D14" s="34" t="inlineStr">
        <is>
          <t>Ready to re-design</t>
        </is>
      </c>
      <c r="E14" s="33" t="inlineStr">
        <is>
          <t>Shows all loans with an outstanding balance, grouped by how overdue they are. Helps staff see who owes money and how the loan book is ageing.</t>
        </is>
      </c>
      <c r="F14" s="33" t="inlineStr">
        <is>
          <t>LNLoan
LNInvoice
LNTypeRepository</t>
        </is>
      </c>
      <c r="G14" s="33" t="inlineStr">
        <is>
          <t>Table: account#, name, last payment date, amount due (principal + interest minus payments). Pie chart groups by 4 aging buckets. Loan types are org-defined, not a fixed list.
⚠️ 'Over 60' label actually means 90+ days — aging labels are misleading.</t>
        </is>
      </c>
      <c r="H14" s="33" t="inlineStr">
        <is>
          <t>Left: Table — account#, name, last payment date, amount due + totals row
Right: Pie chart titled 'By Age' — 4 buckets:
• Current (&lt;30 days)
• 30 (30–59 days)
• 60 (60–89 days)
• Over 60 (90+ days — mislabelled)
Hover shows balance per bucket</t>
        </is>
      </c>
      <c r="I14" s="33" t="inlineStr">
        <is>
          <t>• Select dropdown (defaults to Show All)
  ⚠️ Affects TABLE ONLY — pie chart ALWAYS shows all loan types
  Loan types = org-defined, not a fixed list
• Refresh</t>
        </is>
      </c>
      <c r="J14" s="33" t="inlineStr">
        <is>
          <t>• Account name links in table — destination not yet confirmed
• Hover over pie segment shows balance for that aging bucket
• ⚠️ Same table-only filter pattern as Deposit Accounts</t>
        </is>
      </c>
      <c r="K14" s="41" t="inlineStr">
        <is>
          <t>• Where do the account name links in the table navigate to?
• Aging labels are misleading — 'Over 60' = 90+ days. Flag for redesign.
🔴 NEEDS DEV: Where do account name links navigate?</t>
        </is>
      </c>
    </row>
    <row r="15" ht="120" customHeight="1" s="47">
      <c r="A15" s="35" t="n">
        <v>11</v>
      </c>
      <c r="B15" s="36" t="inlineStr">
        <is>
          <t>Fixed Asset Values</t>
        </is>
      </c>
      <c r="C15" s="37" t="inlineStr">
        <is>
          <t>Fixed Assets</t>
        </is>
      </c>
      <c r="D15" s="38" t="inlineStr">
        <is>
          <t>Needs significant review</t>
        </is>
      </c>
      <c r="E15" s="37" t="inlineStr">
        <is>
          <t>Shows financial values of fixed assets (buildings, vehicles, equipment) broken down by a user-chosen grouping. Three cascaded dropdowns control exactly what is shown.</t>
        </is>
      </c>
      <c r="F15" s="40" t="inlineStr">
        <is>
          <t>Fixed asset records
(exact table names TBC)
⚠️ Unknown — exact DB tables for fixed asset records not confirmed. Developer input needed.</t>
        </is>
      </c>
      <c r="G15" s="37" t="inlineStr">
        <is>
          <t>Five financial measures: Capitalized Value, Cost, Depreciable Value, Accumulated Depreciation, Net Value. Table shows individual assets in selected group; pie shows selected measure across ALL groups.</t>
        </is>
      </c>
      <c r="H15" s="37" t="inlineStr">
        <is>
          <t>Left: Table — Tag#, Name, all 5 financial values. Selected measure shown first in columns.
Right: Pie chart — selected measure spread across all groups. Zero-value groups excluded.
Both update when any dropdown changes.</t>
        </is>
      </c>
      <c r="I15" s="37" t="inlineStr">
        <is>
          <t>3 cascaded dropdowns (all saved per user):
1. Group By: Class / Building / Room / Asset Account / Accumulated Depreciation Account / Expense Account
   → Changing this resets dropdown 2
2. Specific Group: changes dynamically based on Group By. 'Not assigned' for unassigned assets.
3. Financial Measure: Capitalized Value / Cost / Depreciable Value / Accumulated Depreciation / Net Value
• Refresh</t>
        </is>
      </c>
      <c r="J15" s="37" t="inlineStr">
        <is>
          <t>• Changing any dropdown updates both table and pie chart
• Pie always shows all groups; table shows only the selected group
• Hover over pie segment shows value for that group
• No drill-down or navigation away — view-only</t>
        </is>
      </c>
      <c r="K15" s="41" t="inlineStr">
        <is>
          <t>• What are the exact DB tables used for fixed asset records?
• 'None' appears as a table option and displays nothing — should this be removed?
🔴 NEEDS DEV: Confirm fixed asset DB table names.</t>
        </is>
      </c>
    </row>
    <row r="16" ht="120" customHeight="1" s="47">
      <c r="A16" s="27" t="n">
        <v>12</v>
      </c>
      <c r="B16" s="28" t="inlineStr">
        <is>
          <t>None (Empty Slot)</t>
        </is>
      </c>
      <c r="C16" s="29" t="inlineStr">
        <is>
          <t>N/A</t>
        </is>
      </c>
      <c r="D16" s="30" t="inlineStr">
        <is>
          <t>Needs light review</t>
        </is>
      </c>
      <c r="E16" s="29" t="inlineStr">
        <is>
          <t>A selectable option that renders an empty widget space. Allows a user to leave a dashboard slot blank rather than display a chart.</t>
        </is>
      </c>
      <c r="F16" s="29" t="inlineStr">
        <is>
          <t>N/A — no data fetched</t>
        </is>
      </c>
      <c r="G16" s="29" t="inlineStr">
        <is>
          <t>Nothing — intentionally blank panel with no content.</t>
        </is>
      </c>
      <c r="H16" s="29" t="inlineStr">
        <is>
          <t>Empty panel with collapse arrow only.
No content, no chart, no table.</t>
        </is>
      </c>
      <c r="I16" s="29" t="inlineStr">
        <is>
          <t>None.</t>
        </is>
      </c>
      <c r="J16" s="29" t="inlineStr">
        <is>
          <t>None.</t>
        </is>
      </c>
      <c r="K16" s="39" t="inlineStr">
        <is>
          <t>• Should the 'None' option exist in the new dashboard?
• Is there a valid use case for a blank widget slot, or should it be removed entirely from the redesign?
🟡 DECISION: Should 'None' (blank slot) exist in new dashboard?</t>
        </is>
      </c>
    </row>
    <row r="17" ht="120" customHeight="1" s="47">
      <c r="A17" s="35" t="n">
        <v>13</v>
      </c>
      <c r="B17" s="36" t="inlineStr">
        <is>
          <t>Purchasing Management</t>
        </is>
      </c>
      <c r="C17" s="37" t="inlineStr">
        <is>
          <t>Purchasing Management</t>
        </is>
      </c>
      <c r="D17" s="38" t="inlineStr">
        <is>
          <t>Needs significant review</t>
        </is>
      </c>
      <c r="E17" s="37" t="inlineStr">
        <is>
          <t>Shows purchase order requests by approval status. Lets staff see what needs approval, what they submitted, and what's been approved — plus the financial commitment (encumbrance) per period.</t>
        </is>
      </c>
      <c r="F17" s="40" t="inlineStr">
        <is>
          <t>Purchase order records
(exact table names TBC)
⚠️ Unknown — exact DB tables for purchase orders and encumbrance calculations not confirmed. Developer input needed.</t>
        </is>
      </c>
      <c r="G17" s="37" t="inlineStr">
        <is>
          <t>Left: PO request list filtered by status. Right: Encumbrance bar chart by accounting period. Admins see all orders; other users only see orders on their approval paths. Rejected orders never shown.</t>
        </is>
      </c>
      <c r="H17" s="37" t="inlineStr">
        <is>
          <t>Left: Table — order/requisition#, vendor, date issued, outstanding amount + totals row
• Column labels change by status: 'Order#' for approved, 'Requisition#' for pending
Right: Bar chart 'Encumbrances' — one bar per period with data, chronological
Hover shows encumbrance per period</t>
        </is>
      </c>
      <c r="I17" s="37" t="inlineStr">
        <is>
          <t>2 cascaded dropdowns (both saved per user):
1. Status: Awaiting my approval next / Awaiting my approval / Unapproved / Approved
2. Approval Path: changes dynamically based on status. Disabled if only one path. Defaults to 'All approval paths'.
• Refresh</t>
        </is>
      </c>
      <c r="J17" s="37" t="inlineStr">
        <is>
          <t>⚡ ACTION WIDGET: Each table row has an edit icon
→ Navigates AWAY to full PO record in Purchasing module
→ Record has tabs: Detail | Approvals | Attachments | Note | Payment Approval
Alongside Payroll Scheduled Time Off, one of only two action-capable widgets.</t>
        </is>
      </c>
      <c r="K17" s="41" t="inlineStr">
        <is>
          <t>• What are the exact DB tables for PO records and encumbrance calculations?
• Does the encumbrance chart update when the status/path filter changes, or always shows all periods regardless?
🔴 NEEDS DEV: Confirm PO and encumbrance DB table names.</t>
        </is>
      </c>
    </row>
    <row r="18" ht="120" customHeight="1" s="47">
      <c r="A18" s="27" t="n">
        <v>14</v>
      </c>
      <c r="B18" s="28" t="inlineStr">
        <is>
          <t>Main Content Tasks</t>
        </is>
      </c>
      <c r="C18" s="29" t="inlineStr">
        <is>
          <t>System-wide (context-aware)</t>
        </is>
      </c>
      <c r="D18" s="30" t="inlineStr">
        <is>
          <t>Needs light review</t>
        </is>
      </c>
      <c r="E18" s="29" t="inlineStr">
        <is>
          <t>A quick-access shortcut panel linking to common tasks relevant to the current page. Lets users jump to frequently used areas without menu navigation.</t>
        </is>
      </c>
      <c r="F18" s="29" t="inlineStr">
        <is>
          <t>SSScreenSectionTask</t>
        </is>
      </c>
      <c r="G18" s="29" t="inlineStr">
        <is>
          <t>Up to 8 icon+label tiles, each linking to a page in the system. Content is determined automatically by the current page context and the user's permissions. Inaccessible tasks are hidden (not greyed out).</t>
        </is>
      </c>
      <c r="H18" s="29" t="inlineStr">
        <is>
          <t>Grid of up to 8 tiles — each with icon + label.
No chart, no table, no filters, no refresh.
Purely navigational.</t>
        </is>
      </c>
      <c r="I18" s="29" t="inlineStr">
        <is>
          <t>None — entirely system-controlled. Not user-configurable.</t>
        </is>
      </c>
      <c r="J18" s="29" t="inlineStr">
        <is>
          <t>• Each tile navigates away from the dashboard to the relevant page
• Tiles shown change based on which page the dashboard is viewed from
• No user configuration available</t>
        </is>
      </c>
      <c r="K18" s="39" t="inlineStr">
        <is>
          <t>• Can an admin configure which tasks appear, or is it entirely system-controlled?
• In the new dashboard, should this be retained as-is, replaced with a user-configurable shortcut panel, or removed?
🟡 DECISION: Should Main Content Tasks be retained, replaced, or removed?</t>
        </is>
      </c>
    </row>
    <row r="19" ht="120" customHeight="1" s="47">
      <c r="A19" s="31" t="n">
        <v>15</v>
      </c>
      <c r="B19" s="32" t="inlineStr">
        <is>
          <t>Bank Balances</t>
        </is>
      </c>
      <c r="C19" s="33" t="inlineStr">
        <is>
          <t>Bank Account Management</t>
        </is>
      </c>
      <c r="D19" s="34" t="inlineStr">
        <is>
          <t>Ready to re-design</t>
        </is>
      </c>
      <c r="E19" s="33" t="inlineStr">
        <is>
          <t>Shows current balances across all bank accounts. Switching to a single account shows a breakdown of unreconciled activity since the last reconciliation.</t>
        </is>
      </c>
      <c r="F19" s="40" t="inlineStr">
        <is>
          <t>Bank account records
(exact table names TBC)
⚠️ Unknown — exact DB tables for bank account records and transaction data not confirmed. Developer input needed.</t>
        </is>
      </c>
      <c r="G19" s="33" t="inlineStr">
        <is>
          <t>TWO COMPLETELY DIFFERENT VIEWS depending on dropdown selection:
• All Accounts: table of all accounts + balance distribution pie chart
• Single Account: fixed 7-row activity breakdown + bar chart
Only UNRECONCILED items shown (post-reconciliation items excluded).</t>
        </is>
      </c>
      <c r="H19" s="33" t="inlineStr">
        <is>
          <t>All Accounts view:
• Table: account names + ending balances + totals row
• Pie chart: 'All Bank Accounts' (negative-balance accounts excluded)
Single Account view:
• Fixed 7-row table: Beginning Balance, Deposits, Voids, Checks, Withdrawals, EFT, Ending Balance
• Bar chart: 4 categories (Deposits, Voids, Checks, Withdrawals)
• ⚠️ Checks/Withdrawals stored as negatives but displayed as positive bars</t>
        </is>
      </c>
      <c r="I19" s="33" t="inlineStr">
        <is>
          <t>• Account dropdown — defaults to 'All Bank Accounts' (if multiple accounts exist)
• ⚠️ Selecting an account SWITCHES THE ENTIRE LAYOUT — not just a filter
• Refresh (preserves current selection)</t>
        </is>
      </c>
      <c r="J19" s="33" t="inlineStr">
        <is>
          <t>• Dropdown switches layout AND chart type — most significant view-switching behaviour of any widget
• Hover over pie or bar segment shows value
• No drill-down or navigation away from dashboard</t>
        </is>
      </c>
      <c r="K19" s="41" t="inlineStr">
        <is>
          <t>• What are the exact DB tables for bank account records and transaction data?
• Should it be clearer to users that only unreconciled items are shown?
• Is showing negatives as positives in the bar chart confusing?
🔴 NEEDS DEV: Confirm bank account and transaction DB table names.</t>
        </is>
      </c>
    </row>
    <row r="20" ht="120" customHeight="1" s="47">
      <c r="A20" s="31" t="n">
        <v>16</v>
      </c>
      <c r="B20" s="32" t="inlineStr">
        <is>
          <t>Accounts Payable By Due Date</t>
        </is>
      </c>
      <c r="C20" s="33" t="inlineStr">
        <is>
          <t>Accounts Payable</t>
        </is>
      </c>
      <c r="D20" s="34" t="inlineStr">
        <is>
          <t>Ready to re-design</t>
        </is>
      </c>
      <c r="E20" s="33" t="inlineStr">
        <is>
          <t>Shows outstanding unpaid supplier invoices grouped by due date. Helps staff see what needs to be paid and when.</t>
        </is>
      </c>
      <c r="F20" s="33" t="inlineStr">
        <is>
          <t>APInvoice
APInvoiceDetails
APVendor</t>
        </is>
      </c>
      <c r="G20" s="33" t="inlineStr">
        <is>
          <t>Table of invoices for selected due date. Pie chart shows total amount across ALL due dates. Due dates in dropdown are actual invoice due dates from the system — not user-defined.</t>
        </is>
      </c>
      <c r="H20" s="33" t="inlineStr">
        <is>
          <t>Left: Table — vendor name, invoice#, amount due for selected date + totals row
Right: Pie chart 'By Due Date' — one segment per due date
⚠️ Pie segment LABELS show AMOUNTS not dates — potential UX confusion
Hover shows due date + amount</t>
        </is>
      </c>
      <c r="I20" s="33" t="inlineStr">
        <is>
          <t>• Due date dropdown — all distinct due dates from real invoices, earliest to latest
  'Total' option = show all invoices
  Defaults to EARLIEST due date
  ⚠️ Affects TABLE ONLY — pie always shows all dates
• Refresh (preserves current selection)</t>
        </is>
      </c>
      <c r="J20" s="33" t="inlineStr">
        <is>
          <t>• Hover over pie segment shows date + amount
• No drill-down
• ⚠️ Same table-only filter pattern as Deposit Accounts and Loans With Balance Due</t>
        </is>
      </c>
      <c r="K20" s="39" t="inlineStr">
        <is>
          <t>• Pie labels show amounts not dates — is this intended? Should labels show the due date for clarity?
• Three widgets (Deposit Accounts, Loans, AP By Due Date) all have the same filter-table-only pattern — is this consistent by design?
🟡 UX ISSUE: Pie chart labels show amounts not due dates — flag for design.</t>
        </is>
      </c>
    </row>
    <row r="21" ht="120" customHeight="1" s="47">
      <c r="A21" s="27" t="n">
        <v>17</v>
      </c>
      <c r="B21" s="28" t="inlineStr">
        <is>
          <t>Gifts Pledges</t>
        </is>
      </c>
      <c r="C21" s="29" t="inlineStr">
        <is>
          <t>Donors and Gifts</t>
        </is>
      </c>
      <c r="D21" s="30" t="inlineStr">
        <is>
          <t>Needs light review</t>
        </is>
      </c>
      <c r="E21" s="29" t="inlineStr">
        <is>
          <t>Shows gift pledge progress by pledge purpose — tracking what was pledged vs received up to a chosen date. Useful for point-in-time pledge reporting.</t>
        </is>
      </c>
      <c r="F21" s="29" t="inlineStr">
        <is>
          <t>GFPledge</t>
        </is>
      </c>
      <c r="G21" s="29" t="inlineStr">
        <is>
          <t>Table per pledge purpose: Pledge Total, Pledge Due, Received, Due Remaining, Percent Due. Only gifts received on or before the selected date are counted. Totals row at bottom.</t>
        </is>
      </c>
      <c r="H21" s="29" t="inlineStr">
        <is>
          <t>Table only — no chart.
One row per pledge purpose + totals row at bottom.</t>
        </is>
      </c>
      <c r="I21" s="29" t="inlineStr">
        <is>
          <t>• Date Gifts Thru — date picker
  - Defaults to TODAY
  - ⚠️ PERSISTS on refresh (unlike Remittance Pledges which RESETS)
• Refresh (clears cache, reloads with current date)</t>
        </is>
      </c>
      <c r="J21" s="29" t="inlineStr">
        <is>
          <t>• No drill-down
• No navigation away from dashboard
• Table is view-only</t>
        </is>
      </c>
      <c r="K21" s="39" t="inlineStr">
        <is>
          <t>• Date persists on refresh — is this consistent with intended behaviour? Remittance Pledges resets but this one doesn't. Worth clarifying which behaviour is correct.
🟡 CONFIRM: Date persists unlike Remittance Pledges — is this intentional?</t>
        </is>
      </c>
    </row>
    <row r="23" ht="10.05" customHeight="1" s="47"/>
    <row r="24" ht="18" customHeight="1" s="47">
      <c r="A24" s="42" t="inlineStr">
        <is>
          <t>KEY:</t>
        </is>
      </c>
      <c r="B24" s="43" t="inlineStr">
        <is>
          <t>DB Tables — Info missing. Developer input needed.</t>
        </is>
      </c>
      <c r="D24" s="44" t="inlineStr">
        <is>
          <t>Open Question — Technical gap. Developer to investigate.</t>
        </is>
      </c>
      <c r="F24" s="45" t="inlineStr">
        <is>
          <t>Open Question — Decision or UX issue. Product/Design/Stakeholder input needed.</t>
        </is>
      </c>
    </row>
  </sheetData>
  <mergeCells count="3">
    <mergeCell ref="A2:K2"/>
    <mergeCell ref="A1:K1"/>
    <mergeCell ref="A23:K23"/>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2026-07-06T22:34:43Z</dcterms:created>
  <dcterms:modified xmlns:dcterms="http://purl.org/dc/terms/" xmlns:xsi="http://www.w3.org/2001/XMLSchema-instance" xsi:type="dcterms:W3CDTF">2026-08-19T02:50:30Z</dcterms:modified>
  <cp:lastModifiedBy>Oisin Curran</cp:lastModifiedBy>
  <cp:revision>0</cp:revision>
</cp:coreProperties>
</file>